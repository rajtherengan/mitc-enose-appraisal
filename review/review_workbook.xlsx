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Coding rules" sheetId="2" state="visible" r:id="rId4"/>
    <sheet name="Search log" sheetId="3" state="visible" r:id="rId5"/>
    <sheet name="Criteria" sheetId="4" state="visible" r:id="rId6"/>
    <sheet name="Screening" sheetId="5" state="visible" r:id="rId7"/>
    <sheet name="Included studies" sheetId="6" state="visible" r:id="rId8"/>
    <sheet name="PRISMA coun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<sst xmlns="http://schemas.openxmlformats.org/spreadsheetml/2006/main" count="5189" uniqueCount="2164">
  <si>
    <t xml:space="preserve">Supplementary material: Trusted Execution for Sensor-Based Health Diagnostics: A Scoping Review and Attestation Appraisal Profile</t>
  </si>
  <si>
    <t xml:space="preserve">Reporting guideline: PRISMA-ScR. Searches run in OpenAlex on 2026-10-12 (see 'Search log').</t>
  </si>
  <si>
    <t xml:space="preserve">Sheets: Coding rules (element definitions and counting rules); Search log (queries and counts); Criteria (inclusion and exclusion codes, incl. the 2026-10-12 amendment); Screening (all 435 records with decisions); Included studies (charting of the 55 included studies); PRISMA counts (formulas over 'Screening').</t>
  </si>
  <si>
    <t xml:space="preserve">MITC elements: D device identity, F firmware/code, A acquisition configuration, C calibration, M model version, N freshness, H(R) reading digest. 1 = the study protects the element as stated in the source; blank = not stated.</t>
  </si>
  <si>
    <t xml:space="preserve">Charting source: 'Full text' or 'Abstract only'. Abstract-only coding is provisional and conservative (an element is coded only if the abstract states it).</t>
  </si>
  <si>
    <t xml:space="preserve">Screening decisions were suggested by keyword rules and an AI assistant (Claude, Anthropic) and checked by the author.</t>
  </si>
  <si>
    <t xml:space="preserve">Evidence levels: studies read in full form the primary synthesis (Tables II-III and the gap findings); abstract-only studies are supplementary evidence with provisional coding ('Evidence level' column).</t>
  </si>
  <si>
    <t xml:space="preserve">Screening sheet, Next-to-last column: retrieval outcome for each of the 72 reports sought (full text obtained, or not retrieved and assessed on title and abstract). Included studies sheet: 'Evidence type for coded elements' distinguishes implemented and evaluated protection, design-only proposals, formal-only verification, and demonstrated weaknesses (attacks).</t>
  </si>
  <si>
    <t xml:space="preserve">Element</t>
  </si>
  <si>
    <t xml:space="preserve">Coded when the study (read in full for primary studies)...</t>
  </si>
  <si>
    <t xml:space="preserve">Not coded when...</t>
  </si>
  <si>
    <t xml:space="preserve">Example</t>
  </si>
  <si>
    <t xml:space="preserve">D: device identity</t>
  </si>
  <si>
    <t xml:space="preserve">binds data or keys to a specific physical device: PUF responses, device keys certified by a manufacturer/PKI, or physical fingerprints used to identify the device</t>
  </si>
  <si>
    <t xml:space="preserve">a key exists but is not tied to a device identity (e.g., shared symmetric key)</t>
  </si>
  <si>
    <t xml:space="preserve">Gas-sensor PUFs; Yoshida (PUF root of trust); Shams (TEE-generated key + X.509 certificate)</t>
  </si>
  <si>
    <t xml:space="preserve">F: firmware or code</t>
  </si>
  <si>
    <t xml:space="preserve">a verifier checks measurements of the code that processes readings (remote attestation, measured boot with quote)</t>
  </si>
  <si>
    <t xml:space="preserve">secure boot only, with no evidence available to a remote verifier</t>
  </si>
  <si>
    <t xml:space="preserve">PAtt (hash of PLC logic); ImageBox (attested SGX classifier); Benlloch-Lopez (TPM quote, design only)</t>
  </si>
  <si>
    <t xml:space="preserve">A: acquisition configuration</t>
  </si>
  <si>
    <t xml:space="preserve">actual sensor or peripheral configuration registers (not just driver code) are read and checked by a verifier</t>
  </si>
  <si>
    <t xml:space="preserve">only firmware containing a driver is attested</t>
  </si>
  <si>
    <t xml:space="preserve">ERAMO: BME280 ctrl_hum/ctrl_meas/config and I2C registers checked at attestation time (not per reading; ADC not covered)</t>
  </si>
  <si>
    <t xml:space="preserve">C: calibration</t>
  </si>
  <si>
    <t xml:space="preserve">calibration parameters, version, or update authorization are protected or bound to results</t>
  </si>
  <si>
    <t xml:space="preserve">calibration is only named as a threat</t>
  </si>
  <si>
    <t xml:space="preserve">None; Li et al. names calibration deviation as a threat only</t>
  </si>
  <si>
    <t xml:space="preserve">M: model version</t>
  </si>
  <si>
    <t xml:space="preserve">the model used is bound to the result (identity), or model updates are authorized/versioned</t>
  </si>
  <si>
    <t xml:space="preserve">the model is only kept confidential</t>
  </si>
  <si>
    <t xml:space="preserve">ImageBox (model identity recorded, no version policy); Benlloch-Lopez (signed, version-controlled updates, design only); SecureQNN excluded (confidentiality only)</t>
  </si>
  <si>
    <t xml:space="preserve">N: freshness</t>
  </si>
  <si>
    <t xml:space="preserve">each reading or attestation includes a nonce, counter, or timestamp checked by the verifier</t>
  </si>
  <si>
    <t xml:space="preserve">timestamps exist but are not protected or checked</t>
  </si>
  <si>
    <t xml:space="preserve">PAtt (verifier nonce); Cabrera-Gutierrez (HSM/TEE timestamp); Hu (nonces, formal verification only)</t>
  </si>
  <si>
    <t xml:space="preserve">H(R): reading digest</t>
  </si>
  <si>
    <t xml:space="preserve">each reading (or batch) is signed, MACed, or hashed so the verifier can detect alteration</t>
  </si>
  <si>
    <t xml:space="preserve">data are only encrypted in transit without per-reading integrity at the source</t>
  </si>
  <si>
    <t xml:space="preserve">Yoshida, Oyama (PUF-keyed MAC per frame); Shams (TEE-signed readings); Heiss (signed measurements verified in enclave)</t>
  </si>
  <si>
    <t xml:space="preserve">Counting rule</t>
  </si>
  <si>
    <t xml:space="preserve">A single mechanism can count for two elements only when both conditions are separately met (e.g., a certified device key counts as D; the per-reading signature made with it counts as H(R)).</t>
  </si>
  <si>
    <t xml:space="preserve">Evidence types</t>
  </si>
  <si>
    <t xml:space="preserve">Implemented and evaluated; Design only (no evaluation); Formal verification only; Weakness shown (attack, not protection); Per abstract (supplementary, provisional). Recorded in the Included studies sheet.</t>
  </si>
  <si>
    <t xml:space="preserve">Evidence levels</t>
  </si>
  <si>
    <t xml:space="preserve">Primary: charted from full text (used for Table II and the gap findings). Supplementary: charted from abstract only; an element is coded only if the abstract states it, so absence is not evidence of absence.</t>
  </si>
  <si>
    <t xml:space="preserve">Search ID</t>
  </si>
  <si>
    <t xml:space="preserve">Database</t>
  </si>
  <si>
    <t xml:space="preserve">Exact query</t>
  </si>
  <si>
    <t xml:space="preserve">Date run (YYYY-MM-DD)</t>
  </si>
  <si>
    <t xml:space="preserve">Results shown</t>
  </si>
  <si>
    <t xml:space="preserve">R1</t>
  </si>
  <si>
    <t xml:space="preserve">OpenAlex (completed)</t>
  </si>
  <si>
    <t xml:space="preserve">title-abstract-keywords has (stemmed "confidential computing" AND stemmed "medical IoT")</t>
  </si>
  <si>
    <t xml:space="preserve">2026-10-12</t>
  </si>
  <si>
    <t xml:space="preserve">R2</t>
  </si>
  <si>
    <t xml:space="preserve">title-abstract-keywords has (stemmed "breath analysis" AND privacy)</t>
  </si>
  <si>
    <t xml:space="preserve">R3</t>
  </si>
  <si>
    <t xml:space="preserve">title-abstract-keywords has (authentication AND stemmed "gas sensor")</t>
  </si>
  <si>
    <t xml:space="preserve">R4</t>
  </si>
  <si>
    <t xml:space="preserve">title-abstract-keywords has (stemmed "electronic nose" AND security)</t>
  </si>
  <si>
    <t xml:space="preserve">R5</t>
  </si>
  <si>
    <t xml:space="preserve">title-abstract-keywords has (provenance AND stemmed "trusted sensor")</t>
  </si>
  <si>
    <t xml:space="preserve">R6</t>
  </si>
  <si>
    <t xml:space="preserve">title-abstract-keywords has (stemmed "remote attestation" AND sensor)</t>
  </si>
  <si>
    <t xml:space="preserve">R7</t>
  </si>
  <si>
    <t xml:space="preserve">title-abstract-keywords has (stemmed "trusted execution environment" AND "sensor")</t>
  </si>
  <si>
    <t xml:space="preserve">R8</t>
  </si>
  <si>
    <t xml:space="preserve">title-abstract-keywords has ((stemmed "trusted execution environment" OR TrustZone OR SGX OR enclave OR stemmed "remote attestation" OR stemmed "confidential computing" OR stemmed "physically unclonable function") AND (stemmed "electronic nose" OR stemmed "gas sensor" OR stemmed "chemical sensor" OR stemmed "breath analysis" OR "exhaled breath" OR chemiresistive))</t>
  </si>
  <si>
    <t xml:space="preserve">Code</t>
  </si>
  <si>
    <t xml:space="preserve">Rule</t>
  </si>
  <si>
    <t xml:space="preserve">I1</t>
  </si>
  <si>
    <t xml:space="preserve">Proposes or evaluates a TEE, attestation, PUF/device-identity, or cryptographic mechanism that protects the integrity, authenticity, or confidentiality of sensor or health DATA: the readings, their processing, or results derived from them (including authenticating the origin of readings). Protecting only an ML model does not qualify (clarified 2026-10-17). Narrowed on 2026-10-12, before full-text review.</t>
  </si>
  <si>
    <t xml:space="preserve">I2</t>
  </si>
  <si>
    <t xml:space="preserve">Or: applies ML or data handling to chemical-sensor arrays (e-nose, gas, breath) AND addresses security, privacy, integrity, or authentication.</t>
  </si>
  <si>
    <t xml:space="preserve">I3</t>
  </si>
  <si>
    <t xml:space="preserve">Peer-reviewed paper or widely cited preprint, published 2012–2026, with an English title and abstract (as applied at screening; one included full text in Chinese was read in translation).</t>
  </si>
  <si>
    <t xml:space="preserve">E1</t>
  </si>
  <si>
    <t xml:space="preserve">Off topic: not about the security or trust of sensing or health data (e.g., biology "enclave", sensor chemistry with no security aspect).</t>
  </si>
  <si>
    <t xml:space="preserve">E2</t>
  </si>
  <si>
    <t xml:space="preserve">No technical design or evaluation (editorial, news, opinion, abstract only).</t>
  </si>
  <si>
    <t xml:space="preserve">E3</t>
  </si>
  <si>
    <t xml:space="preserve">Not in English.</t>
  </si>
  <si>
    <t xml:space="preserve">E4</t>
  </si>
  <si>
    <t xml:space="preserve">Duplicate or earlier version of an included paper.</t>
  </si>
  <si>
    <t xml:space="preserve">E5</t>
  </si>
  <si>
    <t xml:space="preserve">Full text not available.</t>
  </si>
  <si>
    <t xml:space="preserve">E6</t>
  </si>
  <si>
    <t xml:space="preserve">Published outside 2012–2026.</t>
  </si>
  <si>
    <t xml:space="preserve">E7</t>
  </si>
  <si>
    <t xml:space="preserve">Not peer-reviewed (thesis, podcast, dataset or code repository, webinar, self-published report).</t>
  </si>
  <si>
    <t xml:space="preserve">E8</t>
  </si>
  <si>
    <t xml:space="preserve">Protects device, firmware, or platform state only, not sensor or health DATA (narrower rule of 2026-10-12, applied retrospectively to every record that had passed title/abstract screening). Scope clarified 2026-10-17 to include ML-model-only protection (one further exclusion, S0383). May still be cited as background.</t>
  </si>
  <si>
    <t xml:space="preserve">Note</t>
  </si>
  <si>
    <t xml:space="preserve">Title/abstract stage: decide Include, Exclude (with code), or Maybe. Maybe goes to full-text review. Full-text stage: Include, or Exclude with code.</t>
  </si>
  <si>
    <t xml:space="preserve">Record ID</t>
  </si>
  <si>
    <t xml:space="preserve">Source</t>
  </si>
  <si>
    <t xml:space="preserve">Title</t>
  </si>
  <si>
    <t xml:space="preserve">Authors</t>
  </si>
  <si>
    <t xml:space="preserve">Year</t>
  </si>
  <si>
    <t xml:space="preserve">Venue</t>
  </si>
  <si>
    <t xml:space="preserve">DOI / ID</t>
  </si>
  <si>
    <t xml:space="preserve">Duplicate of (Record ID)</t>
  </si>
  <si>
    <t xml:space="preserve">T/A decision</t>
  </si>
  <si>
    <t xml:space="preserve">T/A reason</t>
  </si>
  <si>
    <t xml:space="preserve">Full-text decision</t>
  </si>
  <si>
    <t xml:space="preserve">FT reason</t>
  </si>
  <si>
    <t xml:space="preserve">Mechanism</t>
  </si>
  <si>
    <t xml:space="preserve">Pipeline stage</t>
  </si>
  <si>
    <t xml:space="preserve">Asset protected</t>
  </si>
  <si>
    <t xml:space="preserve">Chemical-sensor data? (Y/N)</t>
  </si>
  <si>
    <t xml:space="preserve">Notes</t>
  </si>
  <si>
    <t xml:space="preserve">Retrieval outcome (eligibility stage)</t>
  </si>
  <si>
    <t xml:space="preserve">R0001</t>
  </si>
  <si>
    <t xml:space="preserve">Other: web check</t>
  </si>
  <si>
    <t xml:space="preserve">—</t>
  </si>
  <si>
    <t xml:space="preserve">Trusted Operations on Sensor Data</t>
  </si>
  <si>
    <t xml:space="preserve">H. Janjua, W. Joosen, S. Michiels, D. Hughes</t>
  </si>
  <si>
    <t xml:space="preserve">Sensors 18(5), 1364</t>
  </si>
  <si>
    <t xml:space="preserve">10.3390/s18051364</t>
  </si>
  <si>
    <t xml:space="preserve">Include</t>
  </si>
  <si>
    <t xml:space="preserve">TrustZone (OP-TEE) secure operations on sensor data</t>
  </si>
  <si>
    <t xml:space="preserve">Acquisition</t>
  </si>
  <si>
    <t xml:space="preserve">Secrecy, integrity, freshness of readings</t>
  </si>
  <si>
    <t xml:space="preserve">N</t>
  </si>
  <si>
    <t xml:space="preserve">Full text read. Raspberry Pi 3 + BLE pulse sensor; timing overhead only; no calibration or drift. | Pulse sensor and camera on Raspberry Pi 3; no gas sensors; evaluation reports timing, not drift or calibration.</t>
  </si>
  <si>
    <t xml:space="preserve">Full text obtained and read</t>
  </si>
  <si>
    <t xml:space="preserve">R0002</t>
  </si>
  <si>
    <t xml:space="preserve">Gas Sensor Physically Unclonable Function-Based Lightweight Bidirectional Authentication Protocol for Gas Sensor Networks</t>
  </si>
  <si>
    <t xml:space="preserve">S. Hu, P. Wang, H. He, Y. Zhang, X. Li</t>
  </si>
  <si>
    <t xml:space="preserve">Electronics 13(17), 3385</t>
  </si>
  <si>
    <t xml:space="preserve">10.3390/electronics13173385</t>
  </si>
  <si>
    <t xml:space="preserve">S0026</t>
  </si>
  <si>
    <t xml:space="preserve">Exclude</t>
  </si>
  <si>
    <t xml:space="preserve">Gas-sensor PUF + auth protocol</t>
  </si>
  <si>
    <t xml:space="preserve">Device identity</t>
  </si>
  <si>
    <t xml:space="preserve">Node authentication</t>
  </si>
  <si>
    <t xml:space="preserve">Y</t>
  </si>
  <si>
    <t xml:space="preserve">ZnO-SnO2 sensor array as PUF; &gt;98% reliability over 20 days; not breath, no TEE.</t>
  </si>
  <si>
    <t xml:space="preserve">R0003</t>
  </si>
  <si>
    <t xml:space="preserve">High Steady-state Physical Unclonable Function Generator Based on Gas Sensors</t>
  </si>
  <si>
    <t xml:space="preserve">P. Wang, L. Li, Y. Zheng, G. Li</t>
  </si>
  <si>
    <t xml:space="preserve">J. Electronics &amp; Information Technology 43(6), 1596–1602</t>
  </si>
  <si>
    <t xml:space="preserve">10.11999/JEIT201104</t>
  </si>
  <si>
    <t xml:space="preserve">Gas-sensor PUF (Pd-SnO2 nanofibers; 8-sensor array, 3-sensor cluster comparisons, 128-bit response)</t>
  </si>
  <si>
    <t xml:space="preserve">Node identity</t>
  </si>
  <si>
    <t xml:space="preserve">Full text read (Chinese full text; English title and abstract; JEIT 43(6):1596-1602, 2021). Formaldehyde stimulus; reliability 97.85% tested only across heater voltage 4.2-4.9 V (5 samples) and a 400 s run at room conditions (100% for 90 s, &gt;95% after); humidity and long-term drift not tested. Uniqueness 49.04%; randomness 97.03% in abstract vs 98.06% in text. No authentication protocol, reading or calibration binding. Elements: D. | Pd-SnO2 sensors, formaldehyde; check whether full text is English (E3 if not).</t>
  </si>
  <si>
    <t xml:space="preserve">R0004</t>
  </si>
  <si>
    <t xml:space="preserve">Fingerprinting Analog IoT Sensors for Secret-Free Authentication</t>
  </si>
  <si>
    <t xml:space="preserve">F. Lorenz et al.</t>
  </si>
  <si>
    <t xml:space="preserve">arXiv preprint</t>
  </si>
  <si>
    <t xml:space="preserve">arXiv:2006.06296</t>
  </si>
  <si>
    <t xml:space="preserve">Maybe</t>
  </si>
  <si>
    <t xml:space="preserve">Analog sensor fingerprinting (temperature sensors)</t>
  </si>
  <si>
    <t xml:space="preserve">Transduction</t>
  </si>
  <si>
    <t xml:space="preserve">Sensor authenticity</t>
  </si>
  <si>
    <t xml:space="preserve">Full text read. arXiv preprint only. Cite as background for analog trust boundary. | Temperature sensors; relevant to the analog trust boundary.</t>
  </si>
  <si>
    <t xml:space="preserve">R0005</t>
  </si>
  <si>
    <t xml:space="preserve">This Ain't Your Dose: Sensor Spoofing Attack on Medical Infusion Pump</t>
  </si>
  <si>
    <t xml:space="preserve">Y. Park, Y. Son, H. Shin, D. Kim, Y. Kim</t>
  </si>
  <si>
    <t xml:space="preserve">USENIX WOOT 2016</t>
  </si>
  <si>
    <t xml:space="preserve">woot16-paper-park</t>
  </si>
  <si>
    <t xml:space="preserve">Sensor spoofing attack on infusion-pump drop sensor</t>
  </si>
  <si>
    <t xml:space="preserve">Medical sensor integrity</t>
  </si>
  <si>
    <t xml:space="preserve">Full text read. Laser spoofing from ~12 m; over-infusion up to ~3.3x. Physical attack below any TEE. | Physical spoofing of a medical sensor; supports the transduction threat in Table I.</t>
  </si>
  <si>
    <t xml:space="preserve">R0006</t>
  </si>
  <si>
    <t xml:space="preserve">PDRIMA: A Policy-Driven Runtime Integrity Measurement and Attestation Approach for ARM TrustZone-based TEE</t>
  </si>
  <si>
    <t xml:space="preserve">J. Mao, X. Chang</t>
  </si>
  <si>
    <t xml:space="preserve">arXiv:2512.06500</t>
  </si>
  <si>
    <t xml:space="preserve">TrustZone runtime attestation</t>
  </si>
  <si>
    <t xml:space="preserve">Device / runtime</t>
  </si>
  <si>
    <t xml:space="preserve">TEE runtime integrity</t>
  </si>
  <si>
    <t xml:space="preserve">General TrustZone attestation; no sensors. Likely E1 at full text unless used as background.</t>
  </si>
  <si>
    <t xml:space="preserve">S0001</t>
  </si>
  <si>
    <t xml:space="preserve">OpenAlex</t>
  </si>
  <si>
    <t xml:space="preserve">Protecting patient confidentiality in the Internet of Medical Things through confidential computing</t>
  </si>
  <si>
    <t xml:space="preserve">Richard Searle, Prabhanjan Gururaj</t>
  </si>
  <si>
    <t xml:space="preserve">https://doi.org/10.69554/ccmf2668</t>
  </si>
  <si>
    <t xml:space="preserve">Conceptual confidential-computing architecture</t>
  </si>
  <si>
    <t xml:space="preserve">Analytics</t>
  </si>
  <si>
    <t xml:space="preserve">PHI confidentiality</t>
  </si>
  <si>
    <t xml:space="preserve">Charted from abstract only. Position paper; no implementation or evaluation. Cite as background. | Confidential computing for IoMT data</t>
  </si>
  <si>
    <t xml:space="preserve">Full text not retrieved (paywalled or unavailable); assessed on title and abstract</t>
  </si>
  <si>
    <t xml:space="preserve">S0002</t>
  </si>
  <si>
    <t xml:space="preserve">Breath analysis using FTIR spectroscopy</t>
  </si>
  <si>
    <t xml:space="preserve">Andrei A. Bunaciu, Hassan Youssef Aboul-Enein</t>
  </si>
  <si>
    <t xml:space="preserve">https://doi.org/10.37349/emed.2025.1001308</t>
  </si>
  <si>
    <t xml:space="preserve">Off topic: sensing or security application without protection of sensor/health data</t>
  </si>
  <si>
    <t xml:space="preserve">S0003</t>
  </si>
  <si>
    <t xml:space="preserve">The AI Nose Knows: Digital Olfaction and Emotional Scent</t>
  </si>
  <si>
    <t xml:space="preserve">Rocky Scopelliti</t>
  </si>
  <si>
    <t xml:space="preserve">https://doi.org/10.1201/9781003737063-12</t>
  </si>
  <si>
    <t xml:space="preserve">S0004</t>
  </si>
  <si>
    <t xml:space="preserve">The digitization of health care retailing</t>
  </si>
  <si>
    <t xml:space="preserve">Mark Scott Rosenbaum, Germán Contreras Ramírez, Karen Edwards, Ji-Yeon Kim, J Campbell, Marianne C. Bickle</t>
  </si>
  <si>
    <t xml:space="preserve">https://doi.org/10.1108/jrim-07-2017-0058</t>
  </si>
  <si>
    <t xml:space="preserve">S0005</t>
  </si>
  <si>
    <t xml:space="preserve">Artificial Intelligence for Noninvasive Health Diagnostics</t>
  </si>
  <si>
    <t xml:space="preserve">Pushkar Wankhede, Devendra Bhuyar, Shrinivas R. Zanwar, Rohit Pawar, Mahendra R. Jadhav, Nisarg Gandhewar, Madhusudan B. Kulkarni, Manish L. Bhaiyya, Hossam Haick</t>
  </si>
  <si>
    <t xml:space="preserve">https://doi.org/10.1021/acssensors.5c03171</t>
  </si>
  <si>
    <t xml:space="preserve">S0006</t>
  </si>
  <si>
    <t xml:space="preserve">AI-Integrated biosensors: A paradigm shift in multi-cancer detection with enhanced sensitivity and specificity</t>
  </si>
  <si>
    <t xml:space="preserve">Fatima Naseer, Ufra Naseer, Muhammad Yousaf, Junnan Wei, Yuxuan Gao, Dan Li, Xiujia Tian, Yanqing Liu, Xueyan Li, Fang Wang, Ping Luo</t>
  </si>
  <si>
    <t xml:space="preserve">https://doi.org/10.1016/j.snr.2026.100439</t>
  </si>
  <si>
    <t xml:space="preserve">S0007</t>
  </si>
  <si>
    <t xml:space="preserve">Breath as a biomarker: A survey of contact and contactless applications and approaches in respiratory monitoring</t>
  </si>
  <si>
    <t xml:space="preserve">A.L.M.U.S.T.A.P.H.A.A. WAKILI, Babajide J. Asaju, Woosub Jung</t>
  </si>
  <si>
    <t xml:space="preserve">https://doi.org/10.1016/j.smhl.2025.100579</t>
  </si>
  <si>
    <t xml:space="preserve">S0008</t>
  </si>
  <si>
    <t xml:space="preserve">A Review and Performance Study of AI Techniques in Asthma Prediction</t>
  </si>
  <si>
    <t xml:space="preserve">Dr Prashant Kumar Srivastava</t>
  </si>
  <si>
    <t xml:space="preserve">S0009</t>
  </si>
  <si>
    <t xml:space="preserve">Synthetic Exhaled Breath Data-Based Edge AI Model for the Prediction of Chronic Obstructive Pulmonary Disease</t>
  </si>
  <si>
    <t xml:space="preserve">Samson Otieno Ooko, Didacienne Mukanyiligira, Jean Pierre Munyampundu, Jimmy Nsenga</t>
  </si>
  <si>
    <t xml:space="preserve">https://doi.org/10.1109/i3cat53310.2021.9629420</t>
  </si>
  <si>
    <t xml:space="preserve">S0010</t>
  </si>
  <si>
    <t xml:space="preserve">Impaction-based exhaled breath sampling for substance monitoring: a prospective pilot study (Drugxhale)</t>
  </si>
  <si>
    <t xml:space="preserve">Lutea A. A. de Jong, Erik J. H. Olyslager, Jan A Wieferink, Maarten Keizer, Tobias Cornielje, Robbert Peter Zuidema</t>
  </si>
  <si>
    <t xml:space="preserve">https://doi.org/10.1088/1752-7163/ad80b6</t>
  </si>
  <si>
    <t xml:space="preserve">S0011</t>
  </si>
  <si>
    <t xml:space="preserve">Capture and analysis of amphetamine-like stimulants in exhaled breath using functionalized cotton fibers</t>
  </si>
  <si>
    <t xml:space="preserve">Zirun Ren, Litao Shao, Yudi Zhang, Bin Di, Mengxiang Su</t>
  </si>
  <si>
    <t xml:space="preserve">https://doi.org/10.1016/j.microc.2026.119098</t>
  </si>
  <si>
    <t xml:space="preserve">S0012</t>
  </si>
  <si>
    <t xml:space="preserve">Disposable Face Masks for Noninvasive Drug Detection: A Proof-of-Concept Study with Cough Syrup Constituents</t>
  </si>
  <si>
    <t xml:space="preserve">Hei-Tak Tse, Jian Zhen Yu, Zongwei Cai, Wan Chan</t>
  </si>
  <si>
    <t xml:space="preserve">https://doi.org/10.1021/acs.analchem.5c01129</t>
  </si>
  <si>
    <t xml:space="preserve">S0013</t>
  </si>
  <si>
    <t xml:space="preserve">Capture and Analysis of Amphetamine-like Stimulants in Exhaled Breath Using Functionalized Cotton Fibers</t>
  </si>
  <si>
    <t xml:space="preserve">https://doi.org/10.2139/ssrn.6869062</t>
  </si>
  <si>
    <t xml:space="preserve">AI-suggested, confirm. Duplicate</t>
  </si>
  <si>
    <t xml:space="preserve">S0014</t>
  </si>
  <si>
    <t xml:space="preserve">Tiny Machine Learning (TinyML) Based Self Diagnostic Kit for Respiratory Diseases</t>
  </si>
  <si>
    <t xml:space="preserve">Samson Otieno Ooko, Jimmy Nsenga</t>
  </si>
  <si>
    <t xml:space="preserve">https://doi.org/10.1109/icca59364.2023.10401673</t>
  </si>
  <si>
    <t xml:space="preserve">S0015</t>
  </si>
  <si>
    <t xml:space="preserve">State-of-the-art TinyML approaches for colorectal cancer detection: Current advances, challenges, and future directions</t>
  </si>
  <si>
    <t xml:space="preserve">Showkat Ahmad Bhat, Ming-Che Chen, Nen-Fu Huang</t>
  </si>
  <si>
    <t xml:space="preserve">https://doi.org/10.1016/j.artmed.2026.103481</t>
  </si>
  <si>
    <t xml:space="preserve">S0016</t>
  </si>
  <si>
    <t xml:space="preserve">Public Preferences for Emerging Cancer Screening Modalities: A Systematic Review of Discrete Choice Experiments</t>
  </si>
  <si>
    <t xml:space="preserve">Chee Ern Har, Qi Gao, Wenjia Chen, Yi Wang</t>
  </si>
  <si>
    <t xml:space="preserve">https://doi.org/10.1007/s40271-025-00775-1</t>
  </si>
  <si>
    <t xml:space="preserve">S0017</t>
  </si>
  <si>
    <t xml:space="preserve">ONCO-VOC AI module</t>
  </si>
  <si>
    <t xml:space="preserve">Ioannis Gallos</t>
  </si>
  <si>
    <t xml:space="preserve">https://doi.org/10.5281/zenodo.19203817</t>
  </si>
  <si>
    <t xml:space="preserve">AI-suggested, confirm. Not peer-reviewed (thesis, podcast, dataset, repository, webinar)</t>
  </si>
  <si>
    <t xml:space="preserve">S0018</t>
  </si>
  <si>
    <t xml:space="preserve">Detection of Authentication of Milk by Nanostructure Conducting Polypyrrole-ZnO</t>
  </si>
  <si>
    <t xml:space="preserve">Sajad Pirsa, Şeref Tağı, Mohammad Rezaei</t>
  </si>
  <si>
    <t xml:space="preserve">https://doi.org/10.1007/s11664-021-08855-2</t>
  </si>
  <si>
    <t xml:space="preserve">S0019</t>
  </si>
  <si>
    <t xml:space="preserve">Housing Society Management, Authentication and Security App</t>
  </si>
  <si>
    <t xml:space="preserve">Durga Bhavani.A</t>
  </si>
  <si>
    <t xml:space="preserve">https://doi.org/10.18535/ijecs/v6i6.05</t>
  </si>
  <si>
    <t xml:space="preserve">S0020</t>
  </si>
  <si>
    <t xml:space="preserve">Human Body Odor Based Authentication Using Machine Learning</t>
  </si>
  <si>
    <t xml:space="preserve">Yang Bin, Wonjun Lee</t>
  </si>
  <si>
    <t xml:space="preserve">https://doi.org/10.1109/ssci.2018.8628697</t>
  </si>
  <si>
    <t xml:space="preserve">Gas-sensor odor biometric + ML (K-means, PCA, NN)</t>
  </si>
  <si>
    <t xml:space="preserve">Inference</t>
  </si>
  <si>
    <t xml:space="preserve">Person identity (I2)</t>
  </si>
  <si>
    <t xml:space="preserve">Full text read (IEEE SSCI 2018). Body-odor samples from MQ-series gas sensors; K-means, PCA and neural network identify individuals with high accuracy. Shows odor data are identifying (I2). No protection mechanism. No elements coded. | Odor biometric</t>
  </si>
  <si>
    <t xml:space="preserve">S0021</t>
  </si>
  <si>
    <t xml:space="preserve">Design and Implementation of Industrial security system using Fingerprint Authentication and IOT</t>
  </si>
  <si>
    <t xml:space="preserve">Ch. Narasimha Rao, M. Rambabu</t>
  </si>
  <si>
    <t xml:space="preserve">S0022</t>
  </si>
  <si>
    <t xml:space="preserve">CBC (Cipher Block Chaining)-Based Authenticated Encryption for Securing Sensor Data in Smart Home</t>
  </si>
  <si>
    <t xml:space="preserve">S Rajashree, Rajkumar Sukumar</t>
  </si>
  <si>
    <t xml:space="preserve">https://doi.org/10.1007/978-3-030-71485-7_12</t>
  </si>
  <si>
    <t xml:space="preserve">AES-128-CBC encryption with CBC-MAC for sensor data before transmission</t>
  </si>
  <si>
    <t xml:space="preserve">Transmission</t>
  </si>
  <si>
    <t xml:space="preserve">Confidentiality and integrity of sensor data in transit</t>
  </si>
  <si>
    <t xml:space="preserve">Full text read (Springer/EAI chapter, 2021). ESP32 with DHT11 temperature-humidity sensor; timestamped readings written to a file and encrypted with AES-CBC, last block used as MAC. Gas sensors mentioned only as a possible addition, so no chemical-sensor data were used (reclassified from Y). No performance evaluation, device-side protection, freshness, attestation, calibration or model binding. No elements coded. | Authenticated encryption of smart-home sensor data</t>
  </si>
  <si>
    <t xml:space="preserve">S0023</t>
  </si>
  <si>
    <t xml:space="preserve">Automated Detection of Porcine Gelatin Using Deep Learning-Based E-Nose to Support Halal Authentication</t>
  </si>
  <si>
    <t xml:space="preserve">Kunti Robiatul Mahmudah, Muhammad Kunta Biddinika, Dhias Cahya Hakika, Wildan Panji Tresna, Iyon Titok Sugiarto, Inna Syafarina</t>
  </si>
  <si>
    <t xml:space="preserve">https://doi.org/10.35882/jeeemi.v7i1.654</t>
  </si>
  <si>
    <t xml:space="preserve">S0024</t>
  </si>
  <si>
    <t xml:space="preserve">Odor-based individual authentication</t>
  </si>
  <si>
    <t xml:space="preserve">Wataru Tanaka, Chaiyanut Jirayupat, Haruka Honda, Jiangyang Liu, Takuro Hosomi, Tsunaki Takahashi, Takeshi Yanagida</t>
  </si>
  <si>
    <t xml:space="preserve">https://doi.org/10.1039/d5cc02465j</t>
  </si>
  <si>
    <t xml:space="preserve">Review of odor-based authentication (skin, breath)</t>
  </si>
  <si>
    <t xml:space="preserve">Charted from abstract only. Review without own evaluation; cite as background for breath re-identification risk. | Odor biometric</t>
  </si>
  <si>
    <t xml:space="preserve">S0025</t>
  </si>
  <si>
    <t xml:space="preserve">Authentication and adulteration detection of true cinnamon (Cinnamomum zeylanicum) essential oil using an integrated multi-analytical and electronic nose approach</t>
  </si>
  <si>
    <t xml:space="preserve">Giovana Feltes, Ilizandra Aparecida Fernandes, Juliana Steffens, Natália Paroul, Clarice Steffens</t>
  </si>
  <si>
    <t xml:space="preserve">https://doi.org/10.1016/j.compag.2026.111825</t>
  </si>
  <si>
    <t xml:space="preserve">Shuang Hu, Pengjun Wang, Haonan He, Yuejun Zhang, Xiangyu Li</t>
  </si>
  <si>
    <t xml:space="preserve">https://doi.org/10.3390/electronics13173385</t>
  </si>
  <si>
    <t xml:space="preserve">Gas-sensor PUF (ZnO-SnO2 array) + lightweight bidirectional user-server-node authentication protocol (hash, XOR, nonces), ProVerif-verified</t>
  </si>
  <si>
    <t xml:space="preserve">Device identity / transmission</t>
  </si>
  <si>
    <t xml:space="preserve">Node authentication; session key for transmitting gas data</t>
  </si>
  <si>
    <t xml:space="preserve">Full text read (Electronics 2024, 13(17), 3385). D: GS-PUF response hashed for node authentication; ethanol and methanol stimuli. N: user and server random numbers per session; formally resists replay, impersonation, node tampering and cloning (ProVerif only, no hardware protocol timing). Gas data sent under a session key (confidentiality), but individual readings are not digested or signed. No calibration, firmware or model binding. Elements: D, N. | Gas-sensor PUF authentication protocol</t>
  </si>
  <si>
    <t xml:space="preserve">S0027</t>
  </si>
  <si>
    <t xml:space="preserve">Identification authentication scheme using human body odour</t>
  </si>
  <si>
    <t xml:space="preserve">Minglei Shu, Yunxiang Liu, Hua Fang</t>
  </si>
  <si>
    <t xml:space="preserve">https://doi.org/10.1109/ccsse.2014.7224531</t>
  </si>
  <si>
    <t xml:space="preserve">Odor identification scheme (gas sensor arrays)</t>
  </si>
  <si>
    <t xml:space="preserve">Charted from abstract only. Theoretical analysis only, no experiments. | Odor biometric</t>
  </si>
  <si>
    <t xml:space="preserve">S0028</t>
  </si>
  <si>
    <t xml:space="preserve">Data processing approaches and strategies for non-destructive fruits quality inspection and authentication: a review</t>
  </si>
  <si>
    <t xml:space="preserve">Satyam Srivastava, Shashikant Sadistap</t>
  </si>
  <si>
    <t xml:space="preserve">https://doi.org/10.1007/s11694-018-9893-2</t>
  </si>
  <si>
    <t xml:space="preserve">S0029</t>
  </si>
  <si>
    <t xml:space="preserve">Design of Gas Sensors-Based PUF for Internet of Things Security</t>
  </si>
  <si>
    <t xml:space="preserve">Xiaowei Zhang, Zexin Ji, Xiangyu Li, Pengjun Wang, Yangong Zheng, Shanshan Wang</t>
  </si>
  <si>
    <t xml:space="preserve">https://doi.org/10.1109/jsen.2025.3540015</t>
  </si>
  <si>
    <t xml:space="preserve">Gas-sensor PUF (TiO2-ZnO nanofibers; 128-bit)</t>
  </si>
  <si>
    <t xml:space="preserve">Node identity and key management</t>
  </si>
  <si>
    <t xml:space="preserve">Full text read (IEEE Sensors J. 25(7), 2025). Eight TiO2-ZnO sensors, three per cluster, median averaging filter + multi-bit balancing, 128-bit response; varied gas concentrations and operating voltages; uniqueness 49.6%, randomness 98.6%, reliability 97%. Authentication and key management claimed as applications only, no protocol. Humidity not tested. Elements: D. | Gas-sensor PUF (IEEE Sensors J. 2025)</t>
  </si>
  <si>
    <t xml:space="preserve">S0030</t>
  </si>
  <si>
    <t xml:space="preserve">NASICON-based gas sensor utilizing MMnO3 (M: Gd, Sm, La) sensing electrode for triethylamine detection</t>
  </si>
  <si>
    <t xml:space="preserve">Yueying Zhang, Ce Ma, Xinyu Yang, Yang Song, Xishuang Liang, Xu Zhao, Yilin Wang, Yuan Lou Gao, Fengmin Liu, Fangmeng Liu, Peng Sun, Geyu Lu</t>
  </si>
  <si>
    <t xml:space="preserve">https://doi.org/10.1016/j.snb.2019.05.062</t>
  </si>
  <si>
    <t xml:space="preserve">S0031</t>
  </si>
  <si>
    <t xml:space="preserve">Metal Oxide Semiconductor Gas Sensors-based E-nose and Two-stage Classification: Authentication of Malaysia and Vietnam Black Pepper Samples</t>
  </si>
  <si>
    <t xml:space="preserve">Hui En Lee, Zehnder Jarroop Augustine Mercer, Sing Muk Ng, Mahnaz Shafiei, Hong Siang Chua</t>
  </si>
  <si>
    <t xml:space="preserve">https://doi.org/10.1109/isoen54820.2022.9789618</t>
  </si>
  <si>
    <t xml:space="preserve">S0032</t>
  </si>
  <si>
    <t xml:space="preserve">Potential application of electronic nose coupled with chemometric tools for authentication assessment in tomato paste</t>
  </si>
  <si>
    <t xml:space="preserve">Ayat Mohammad‐Razdari, Mahdi Ghasemi‐Varnamkhasti, Seyedeh Hoda Yoosefian, Zahra Izadi, Maryam Siadat</t>
  </si>
  <si>
    <t xml:space="preserve">https://doi.org/10.1111/jfpe.13119</t>
  </si>
  <si>
    <t xml:space="preserve">S0033</t>
  </si>
  <si>
    <t xml:space="preserve">Rapid analysis of meat floss origin using a supervised machine learning-based electronic nose towards food authentication</t>
  </si>
  <si>
    <t xml:space="preserve">Linda Ardita Putri, Iman Rahman, Mayumi Puspita, Shidiq Nur Hidayat, Agus Budi Dharmawan, Aditya Rianjanu, Sunu Wibirama, Roto Roto, Kuwat Trıyana, Hutomo Suryo Wasisto</t>
  </si>
  <si>
    <t xml:space="preserve">https://doi.org/10.1038/s41538-023-00205-2</t>
  </si>
  <si>
    <t xml:space="preserve">S0034</t>
  </si>
  <si>
    <t xml:space="preserve">Microstructural and morphological insight of wide band gap SnO2 towards gas sensor applications</t>
  </si>
  <si>
    <t xml:space="preserve">Jegannathan Mangaiyarkkarasi, V. Meenakumari, N. Thenmozhi</t>
  </si>
  <si>
    <t xml:space="preserve">https://doi.org/10.1007/s12046-023-02138-8</t>
  </si>
  <si>
    <t xml:space="preserve">S0035</t>
  </si>
  <si>
    <t xml:space="preserve">Multi Level Bank Locker Security System with Digital Signature Authentication and Internet of Things</t>
  </si>
  <si>
    <t xml:space="preserve">Md. Ashiqul Islam, Md. Sumon Sarder, Mehedi Hasan Mamun, Faruq Ahmed, Sujit Kumar Sarkar, Aunik Hasan Mridul, Md. Tanvir Ahmed, Tania Khatun</t>
  </si>
  <si>
    <t xml:space="preserve">https://doi.org/10.21203/rs.3.rs-2173423/v1</t>
  </si>
  <si>
    <t xml:space="preserve">S0036</t>
  </si>
  <si>
    <t xml:space="preserve">Electronic noses and tongues</t>
  </si>
  <si>
    <t xml:space="preserve">Ambra Rita Di Rosa, Francesco Leone, Vincenzo Chiofalo</t>
  </si>
  <si>
    <t xml:space="preserve">https://doi.org/10.1016/b978-0-12-813266-1.00007-3</t>
  </si>
  <si>
    <t xml:space="preserve">S0037</t>
  </si>
  <si>
    <t xml:space="preserve">Application of Electronic Nose Systems on Animal-Source Food</t>
  </si>
  <si>
    <t xml:space="preserve">Ambra Rita Di Rosa, Francesco Leone</t>
  </si>
  <si>
    <t xml:space="preserve">https://doi.org/10.4018/978-1-5225-3862-2.ch008</t>
  </si>
  <si>
    <t xml:space="preserve">S0038</t>
  </si>
  <si>
    <t xml:space="preserve">Analytical equations based prediction approach for PM2.5 using artificial neural network</t>
  </si>
  <si>
    <t xml:space="preserve">Jalpa Shah, Biswajit Mishra</t>
  </si>
  <si>
    <t xml:space="preserve">https://doi.org/10.1007/s42452-020-03294-w</t>
  </si>
  <si>
    <t xml:space="preserve">S0039</t>
  </si>
  <si>
    <t xml:space="preserve">A Secret Key Updating Method between Devices for Secure Smart Services</t>
  </si>
  <si>
    <t xml:space="preserve">Jin‐Hee Han, Geonwoo Kim</t>
  </si>
  <si>
    <t xml:space="preserve">https://doi.org/10.1109/ictc.2018.8539417</t>
  </si>
  <si>
    <t xml:space="preserve">Narrower rule: protects device/firmware/platform state only, not sensor or health data (may still be cited as background). Key update for smart services</t>
  </si>
  <si>
    <t xml:space="preserve">S0040</t>
  </si>
  <si>
    <t xml:space="preserve">Development of a Raspberry Pi-Based IoT Smart Laboratory Trainer with an I2C Display and Solenoid Lock Actuator for the Telecommunications Laboratory of the Faculty of Engineering, UNESA</t>
  </si>
  <si>
    <t xml:space="preserve">Ali Mustain, Genta Garuda Bimasakti, Hikmat Oka Kusuma</t>
  </si>
  <si>
    <t xml:space="preserve">https://doi.org/10.9734/jerr/2026/v28i71966</t>
  </si>
  <si>
    <t xml:space="preserve">S0041</t>
  </si>
  <si>
    <t xml:space="preserve">Molybdenum Carbide MXenes as Efficient Nanosensors toward Selected Chemical Warfare Agents</t>
  </si>
  <si>
    <t xml:space="preserve">Puspamitra Panigrahi, Yash Pal, Thanayut Kaewmaraya, Hyeonhu Bae, Noushin Nasiri, Tanveer Hussain</t>
  </si>
  <si>
    <t xml:space="preserve">https://doi.org/10.1021/acsanm.3c00686</t>
  </si>
  <si>
    <t xml:space="preserve">S0042</t>
  </si>
  <si>
    <t xml:space="preserve">A Secured Distributed IoT Framework for Real-Time Wildfire Detection using Edge Computing and Spatial-Temporal Correlation</t>
  </si>
  <si>
    <t xml:space="preserve">Jaswanth Kumar N, N H Shrinandh, Jayasree M. Oli, Paramasivam C.</t>
  </si>
  <si>
    <t xml:space="preserve">https://doi.org/10.1109/icoei68323.2026.11541877</t>
  </si>
  <si>
    <t xml:space="preserve">ECDSA P-256 message authentication + multi-node consensus (ESP32, MQ gas sensors)</t>
  </si>
  <si>
    <t xml:space="preserve">Authenticity/integrity of gas readings</t>
  </si>
  <si>
    <t xml:space="preserve">Charted from abstract only (abstract supplied by author). Wildfire detection; signing at a Python gateway; consensus of 2+ nodes within 500 m. No TEE. | Secured sensor framework</t>
  </si>
  <si>
    <t xml:space="preserve">S0043</t>
  </si>
  <si>
    <t xml:space="preserve">Experimental performance evaluation of non-toxic metal oxide synthesized via solid-state reaction for room temperature-sensing applications</t>
  </si>
  <si>
    <t xml:space="preserve">R. Binowesley, Kirubaveni Savarimuthu, Radha Shankararajan, Iyappan Gunasekaran</t>
  </si>
  <si>
    <t xml:space="preserve">https://doi.org/10.1007/s12034-023-02988-2</t>
  </si>
  <si>
    <t xml:space="preserve">S0044</t>
  </si>
  <si>
    <t xml:space="preserve">Classification of Alcoholic Beverage Using Electronic Nose and Support Vector Machine</t>
  </si>
  <si>
    <t xml:space="preserve">Jon Dave V. Bautista, Marc Julian M. Elizarde, Meo Vincent C. Caya</t>
  </si>
  <si>
    <t xml:space="preserve">https://doi.org/10.1109/iccae64891.2025.10980518</t>
  </si>
  <si>
    <t xml:space="preserve">S0045</t>
  </si>
  <si>
    <t xml:space="preserve">Integrated Security Home Automation Based on IOT</t>
  </si>
  <si>
    <t xml:space="preserve">Prof. V.Srikanth, H Suchetha, K Pravllika</t>
  </si>
  <si>
    <t xml:space="preserve">https://doi.org/10.14419/ijet.v7i2.32.15710</t>
  </si>
  <si>
    <t xml:space="preserve">S0046</t>
  </si>
  <si>
    <t xml:space="preserve">Crptography based Lifi for Patient Privacy and Emergency Health Service Using IOT</t>
  </si>
  <si>
    <t xml:space="preserve">V. T. Vithya, M. P. Chandrasekar, M. Suganthy, J. Jasmine Hephzipah, B. Sarala, Nuthakki Praveena, M. Perarasi</t>
  </si>
  <si>
    <t xml:space="preserve">https://doi.org/10.17762/ijritcc.v10i2s.5928</t>
  </si>
  <si>
    <t xml:space="preserve">SHA hashing for LiFi health IoT data</t>
  </si>
  <si>
    <t xml:space="preserve">Patient vital-sign data</t>
  </si>
  <si>
    <t xml:space="preserve">Charted from abstract only. Vital-sign kit includes a gas sensor (not breath). Low technical depth. | Crypto for health IoT; low technical depth?</t>
  </si>
  <si>
    <t xml:space="preserve">S0047</t>
  </si>
  <si>
    <t xml:space="preserve">Suitability of chlorobenzene-based single-electron transistor as HCN, AsH3, and COCl2 sensor</t>
  </si>
  <si>
    <t xml:space="preserve">Ravi Mehla, Kumar Gaurav, Anurag Srivastava, Sukhbir Singh</t>
  </si>
  <si>
    <t xml:space="preserve">https://doi.org/10.1007/s00894-022-05195-8</t>
  </si>
  <si>
    <t xml:space="preserve">S0048</t>
  </si>
  <si>
    <t xml:space="preserve">Design of Unmanned All-Terrain Spy Bot</t>
  </si>
  <si>
    <t xml:space="preserve">Aditya S Kumar, Aradhana, Shristi Kumari, Shipra Shipra, Deepak Prasad, Divya Sharma, T. Snehitha Reddy, Bhagwan Singh, Deepika Kotwar, Vijay Nath</t>
  </si>
  <si>
    <t xml:space="preserve">https://doi.org/10.1007/978-981-19-1906-0_30</t>
  </si>
  <si>
    <t xml:space="preserve">S0049</t>
  </si>
  <si>
    <t xml:space="preserve">Classification of Dark Condiment Sauces Through Electronic Nose Using Support Vector Machine</t>
  </si>
  <si>
    <t xml:space="preserve">Jose Julian L. Acot, Cherry Ben Jr. R. Bendol, John Paul T. Cruz</t>
  </si>
  <si>
    <t xml:space="preserve">https://doi.org/10.3390/engproc2026134022</t>
  </si>
  <si>
    <t xml:space="preserve">S0050</t>
  </si>
  <si>
    <t xml:space="preserve">Potentiallity of Surface Modified TiO2 Nanoflowers for Alcohol Sensing Application</t>
  </si>
  <si>
    <t xml:space="preserve">Indranil Maity, Partha Bhattacharyya</t>
  </si>
  <si>
    <t xml:space="preserve">https://doi.org/10.1109/isdcs.2019.8719089</t>
  </si>
  <si>
    <t xml:space="preserve">S0051</t>
  </si>
  <si>
    <t xml:space="preserve">Design of High-Performance Gas-Sensing PUF Based on Nanoparticles/Fibers With Composite Morphology</t>
  </si>
  <si>
    <t xml:space="preserve">Haitao Mei, Yuejun Zhang, Haonan He, Yangong Zheng</t>
  </si>
  <si>
    <t xml:space="preserve">https://doi.org/10.1109/jsen.2023.3312323</t>
  </si>
  <si>
    <t xml:space="preserve">Gas-sensor PUF (EHD nano-SnO2 particle/fiber) + PUF-based gas discrimination scheme</t>
  </si>
  <si>
    <t xml:space="preserve">Sensor identity; gas discrimination from per-gas PUF difference</t>
  </si>
  <si>
    <t xml:space="preserve">Full text read (IEEE Sensors J. 23(20), 2023). EHD nano-SnO2 particle/fiber sensors; ethanol and formaldehyde at different temperatures; reliability 99.21%, uniqueness 49.37%, NIST pass. Gas authentication scheme distinguishes two reducing gases by PUF-response difference (min HD 57.1% between gases vs max 3.9% across 4.5-4.7 V): a selectivity aid, not authentication of samples or readings. Humidity not tested. Elements: D. | Gas-sensing PUF (IEEE Sensors J. 2023)</t>
  </si>
  <si>
    <t xml:space="preserve">S0052</t>
  </si>
  <si>
    <t xml:space="preserve">Smart Food Waste Rescue Hub Application: IOT-Enabled Platform for Surplus Food Redistribution</t>
  </si>
  <si>
    <t xml:space="preserve">B. Aysha Banu, Sujan Balan S, Sathak Irfan A J, Syed Salman V, Devika S.T.</t>
  </si>
  <si>
    <t xml:space="preserve">https://doi.org/10.55041/ijsmt.v2i5.132</t>
  </si>
  <si>
    <t xml:space="preserve">S0053</t>
  </si>
  <si>
    <t xml:space="preserve">Computational Investigation of Hafnium Carbide MXenes (Hf 3 C 2 T x ) for Ultra-Sensitive Detection of Targeted Volatile Organic Compounds</t>
  </si>
  <si>
    <t xml:space="preserve">Puspamitra Panigrahi, Yash Pal, Hyeonhu Bae, Muhaymin Khan, Hoonkyung Lee, Arifa M. Khan, Tanveer Hussain</t>
  </si>
  <si>
    <t xml:space="preserve">https://doi.org/10.1021/acs.langmuir.5c03298</t>
  </si>
  <si>
    <t xml:space="preserve">S0054</t>
  </si>
  <si>
    <t xml:space="preserve">Molybdenum Carbide MXenes as Efficient Nanosensors Towards Selected Chemical Warfare Agents</t>
  </si>
  <si>
    <t xml:space="preserve">Puspamitra Panigrahi, Pal, Yash, Thanayut Kaewmaraya, Hyeonhu Bae, Noushin Nasiri, Tanveer Hussain</t>
  </si>
  <si>
    <t xml:space="preserve">https://doi.org/10.48550/arxiv.2302.03181</t>
  </si>
  <si>
    <t xml:space="preserve">S0055</t>
  </si>
  <si>
    <t xml:space="preserve">Implementation of Integrity of Voice and Face Recognition for Home Security by Using GSM and ZIGBEE</t>
  </si>
  <si>
    <t xml:space="preserve">Chandrasekhar Lokanadham, B. Purna V. Subbarao, V. Santhisri</t>
  </si>
  <si>
    <t xml:space="preserve">S0056</t>
  </si>
  <si>
    <t xml:space="preserve">Design of PUF based on a Cr2O3-SnO2 gas sensor for Internet of Things security</t>
  </si>
  <si>
    <t xml:space="preserve">Xiali Han, Shanshan Wang, Jianding Yu, Pengjun Wang, Xiangyu Li</t>
  </si>
  <si>
    <t xml:space="preserve">https://doi.org/10.1016/j.measurement.2026.121395</t>
  </si>
  <si>
    <t xml:space="preserve">Gas-sensor PUF (Cr2O3-SnO2; block-mapped random projection; 128-bit)</t>
  </si>
  <si>
    <t xml:space="preserve">Charted from abstract only (full text unavailable). Uniqueness 50.02%, randomness 98.83%, reliability 97.21%; ML modeling attacks near 0.5 accuracy for 8 models; resistant to environmental disturbance (per abstract). No data binding, TEE, or health use stated. | Gas-sensor PUF (Measurement 2026)</t>
  </si>
  <si>
    <t xml:space="preserve">S0057</t>
  </si>
  <si>
    <t xml:space="preserve">Analytical determination of load resistance value for MQ-series gas sensors: MQ-6 as case study</t>
  </si>
  <si>
    <t xml:space="preserve">A. T. Ajiboye, Jayeola Femi Opadiji, Abdulrahman Olalekan Yusuf, Jacob Olagbenro Popoola</t>
  </si>
  <si>
    <t xml:space="preserve">https://doi.org/10.12928/telkomnika.v19i2.17427</t>
  </si>
  <si>
    <t xml:space="preserve">S0058</t>
  </si>
  <si>
    <t xml:space="preserve">Fraud detection of black pepper using metal oxide semiconductor gas sensors</t>
  </si>
  <si>
    <t xml:space="preserve">Hui En Lee, Hong Siang Chua, Zehnder Jarroop Augustine Mercer, Sing Muk Ng, Mahnaz Shafiei</t>
  </si>
  <si>
    <t xml:space="preserve">https://doi.org/10.1109/sensors47087.2021.9639658</t>
  </si>
  <si>
    <t xml:space="preserve">S0059</t>
  </si>
  <si>
    <t xml:space="preserve">Nebulized spray pyrolysis deposited CdO thin films for liquefied petroleum gas and ethanol gas sensor</t>
  </si>
  <si>
    <t xml:space="preserve">V. Vijayanarayanan, V. Aravindan, Karuppasamy Balasubramanian</t>
  </si>
  <si>
    <t xml:space="preserve">https://doi.org/10.1088/1402-4896/ad623f</t>
  </si>
  <si>
    <t xml:space="preserve">S0060</t>
  </si>
  <si>
    <t xml:space="preserve">Surface Potential-Based Approach to Estimate Bias Dependent Sensitivity of 1-D Metal Oxide Resistive Gas Sensors</t>
  </si>
  <si>
    <t xml:space="preserve">Arnab Hazra</t>
  </si>
  <si>
    <t xml:space="preserve">https://doi.org/10.1109/jsen.2020.2974960</t>
  </si>
  <si>
    <t xml:space="preserve">S0061</t>
  </si>
  <si>
    <t xml:space="preserve">Microcontroller and Sensor Based Smart Biking System for Driver’s Safety</t>
  </si>
  <si>
    <t xml:space="preserve">S. J. Swathi, Shubham Raj, D. Devaraj</t>
  </si>
  <si>
    <t xml:space="preserve">https://doi.org/10.1109/incos45849.2019.8951409</t>
  </si>
  <si>
    <t xml:space="preserve">S0062</t>
  </si>
  <si>
    <t xml:space="preserve">Energy-Optimized IoT Smart Home with Biometric Security and Real-Time Environmental Monitoring</t>
  </si>
  <si>
    <t xml:space="preserve">Md. Akash Hosen, Md. Farukuzzaman Khan, Md. Robiul Hoque</t>
  </si>
  <si>
    <t xml:space="preserve">https://doi.org/10.1109/raaicon69033.2025.11502309</t>
  </si>
  <si>
    <t xml:space="preserve">S0063</t>
  </si>
  <si>
    <t xml:space="preserve">Temporal Gated Neural Model for Odor Classification in TinyML Devices</t>
  </si>
  <si>
    <t xml:space="preserve">Jihad Rahmawan, Anton Yudhana, Julia Mega Risky</t>
  </si>
  <si>
    <t xml:space="preserve">https://doi.org/10.1109/icoait67446.2025.11308749</t>
  </si>
  <si>
    <t xml:space="preserve">S0064</t>
  </si>
  <si>
    <t xml:space="preserve">Electronic Nose-Driven Classification of Sri Lankan Teas: An Ensemble Learning Approach Based on Aroma Profiles</t>
  </si>
  <si>
    <t xml:space="preserve">Bhashitha Kaveesh, Thosini Kumarika, Dakshika Wanniarachchi, Tharaga Sharmilan</t>
  </si>
  <si>
    <t xml:space="preserve">https://doi.org/10.1109/scse70081.2026.11499810</t>
  </si>
  <si>
    <t xml:space="preserve">S0065</t>
  </si>
  <si>
    <t xml:space="preserve">Raspberry Pi-Based Carbon Footprint Analyzer for Smart Homes</t>
  </si>
  <si>
    <t xml:space="preserve">Rayapaneni Mourya Vardhan, Batchu Jahnavi, P. V. Vidya Varshini, Syed Vaheeda, Dasari Narendra</t>
  </si>
  <si>
    <t xml:space="preserve">https://doi.org/10.55041/ijsrem59057</t>
  </si>
  <si>
    <t xml:space="preserve">S0066</t>
  </si>
  <si>
    <t xml:space="preserve">Development of Electronic Nose with Low-Cost Dynamic Headspace for Classifying Vegetable Oils and Animal Fats</t>
  </si>
  <si>
    <t xml:space="preserve">Kuwat Trıyana, M. Taukhid Subekti, Prasetyo Aji, Shidiq Nur Hidayat, Abdul Rohman</t>
  </si>
  <si>
    <t xml:space="preserve">https://doi.org/10.4028/www.scientific.net/amm.771.50</t>
  </si>
  <si>
    <t xml:space="preserve">S0067</t>
  </si>
  <si>
    <t xml:space="preserve">Smart Room Automation System</t>
  </si>
  <si>
    <t xml:space="preserve">Siddhartha Srivastava, V Arvind, Rajarshi Mukhopadhyay, Priya B. K</t>
  </si>
  <si>
    <t xml:space="preserve">https://doi.org/10.1109/ic-icns68863.2026.11537467</t>
  </si>
  <si>
    <t xml:space="preserve">S0068</t>
  </si>
  <si>
    <t xml:space="preserve">Development of a Smart Sensor Array for Adulteration Detection in Black Pepper Seeds using Machine Learning</t>
  </si>
  <si>
    <t xml:space="preserve">Sowmya Natarajan, Vijayakumar Ponnusamy</t>
  </si>
  <si>
    <t xml:space="preserve">https://doi.org/10.14569/ijacsa.2023.0140375</t>
  </si>
  <si>
    <t xml:space="preserve">S0069</t>
  </si>
  <si>
    <t xml:space="preserve">A secure and energy-efficient edge computing improved SZ 2.1 hybrid algorithm for handling iot data stream</t>
  </si>
  <si>
    <t xml:space="preserve">Sanjay Patidar, Rajni Jindal, Neetesh Kumar</t>
  </si>
  <si>
    <t xml:space="preserve">https://doi.org/10.1007/s11042-024-18765-0</t>
  </si>
  <si>
    <t xml:space="preserve">Error-bounded SZ 2.1 lossy compression + ChaCha20-Poly1305 authenticated encryption at the edge</t>
  </si>
  <si>
    <t xml:space="preserve">Confidentiality, integrity and authentication of IoT data streams in transit</t>
  </si>
  <si>
    <t xml:space="preserve">Full text read (Multimed. Tools Appl., 2024). Raspberry Pi client; datasets: driver stress (ECG, HR, GSR, RR) and UCI gas sensors for home activity monitoring, but only the temperature readings of the gas dataset were used, so no chemical-sensor data (reclassified from Y). Per-message Poly1305 MAC with 128-bit nonce; reports energy and processing-time reductions. No device-side protection, attestation, calibration or model binding. No elements coded. | Secure IoT data stream</t>
  </si>
  <si>
    <t xml:space="preserve">S0070</t>
  </si>
  <si>
    <t xml:space="preserve">Design and Validation of a Portable Machine Learning-Based Electronic Nose</t>
  </si>
  <si>
    <t xml:space="preserve">Yixu Huang, Iyll‐Joon Doh, Euiwon Bae</t>
  </si>
  <si>
    <t xml:space="preserve">https://doi.org/10.3390/s21113923</t>
  </si>
  <si>
    <t xml:space="preserve">S0071</t>
  </si>
  <si>
    <t xml:space="preserve">Design of smart automated cooker_a survey and feasibility study</t>
  </si>
  <si>
    <t xml:space="preserve">Kavita Sharma, S. R. N. Reddy</t>
  </si>
  <si>
    <t xml:space="preserve">https://doi.org/10.1007/s11042-024-19764-x</t>
  </si>
  <si>
    <t xml:space="preserve">S0072</t>
  </si>
  <si>
    <t xml:space="preserve">Identification and Visualization of Hazardous Gases Using IoT</t>
  </si>
  <si>
    <t xml:space="preserve">Yashvin Munsadwala, Pankti Joshi, Pranav R. Patel, Keyur Rana</t>
  </si>
  <si>
    <t xml:space="preserve">https://doi.org/10.1109/iot-siu.2019.8777481</t>
  </si>
  <si>
    <t xml:space="preserve">S0073</t>
  </si>
  <si>
    <t xml:space="preserve">Intelligent Process Automation for Detecting Unauthorized Entry by Actors in IoT Imbedded Enterprise Setting</t>
  </si>
  <si>
    <t xml:space="preserve">Amit K. Nerurkar, G. T. Thampi</t>
  </si>
  <si>
    <t xml:space="preserve">https://doi.org/10.1007/978-981-19-4193-1_40</t>
  </si>
  <si>
    <t xml:space="preserve">S0074</t>
  </si>
  <si>
    <t xml:space="preserve">Improvement of No2 Gas Sensing Characteristics of Graphene-Sno2 Hybrid Nanocomposites by Proton Irradiation: Experimental and Dft Studies</t>
  </si>
  <si>
    <t xml:space="preserve">Ka Yoon Shin, Ali Mirzaei, Thanayut Kaewmaraya, Jae Hoon Bang, Wansik Oum, Dong Jae Yu, Sukwoo Kang, Tanveer Hussain, Sang Sub Kim, Hyoun Woo Kim</t>
  </si>
  <si>
    <t xml:space="preserve">https://doi.org/10.2139/ssrn.4169565</t>
  </si>
  <si>
    <t xml:space="preserve">S0075</t>
  </si>
  <si>
    <t xml:space="preserve">Determination of Animal-Based and Plant-Based Meat Products with an Electronic Nose Using a Fuzzy Logic Algorithm</t>
  </si>
  <si>
    <t xml:space="preserve">Kyla Marie W. Calalang, Vince Samuel R. De Peña, Jocelyn F. Villaverde</t>
  </si>
  <si>
    <t xml:space="preserve">https://doi.org/10.3390/engproc2026134049</t>
  </si>
  <si>
    <t xml:space="preserve">S0076</t>
  </si>
  <si>
    <t xml:space="preserve">Classification of Local Fish Meat Types in the Philippines Using Electronic Nose</t>
  </si>
  <si>
    <t xml:space="preserve">Julius Gabriel Stephen E. Pableo, Prince Albert H. Mangahas, Meo Vincent C. Caya</t>
  </si>
  <si>
    <t xml:space="preserve">https://doi.org/10.1109/iccae64891.2025.10980567</t>
  </si>
  <si>
    <t xml:space="preserve">S0077</t>
  </si>
  <si>
    <t xml:space="preserve">IoT-Based Integrated Household Gas Monitoring System</t>
  </si>
  <si>
    <t xml:space="preserve">Oluwarantimi Eberechukwu Bukola, Momoh J. E. Salami</t>
  </si>
  <si>
    <t xml:space="preserve">https://doi.org/10.1109/nigercon62786.2024.10927297</t>
  </si>
  <si>
    <t xml:space="preserve">S0078</t>
  </si>
  <si>
    <t xml:space="preserve">Classification of Animal and Plant-Based Edible Oils with Electronic Nose Using Extreme Gradient-Boosted Decision Tree</t>
  </si>
  <si>
    <t xml:space="preserve">Reji T. Capoquian, Rance Jacob L. De Guzman, Meo Vincent C. Caya</t>
  </si>
  <si>
    <t xml:space="preserve">https://doi.org/10.1109/iccae64891.2025.10980599</t>
  </si>
  <si>
    <t xml:space="preserve">S0079</t>
  </si>
  <si>
    <t xml:space="preserve">Home Automation System using Internet-of-Things &amp; Blynk App</t>
  </si>
  <si>
    <t xml:space="preserve">Tanishka Bhala, Alok Aggarwal, Shalini Aggarwal, Kshitij Garg, Abhishek Gupta</t>
  </si>
  <si>
    <t xml:space="preserve">https://doi.org/10.1109/punecon58714.2023.10450120</t>
  </si>
  <si>
    <t xml:space="preserve">S0080</t>
  </si>
  <si>
    <t xml:space="preserve">Gold nanoparticle-sensitized 2D conductive MOF film-based chemiresistors for enhanced identification of American ginseng</t>
  </si>
  <si>
    <t xml:space="preserve">Lin-An Cao, Deng-Yue Ma, Yun‐Fei Huo, Hao-Ma, Xiao-Qin Li, Xue-Qin Gu</t>
  </si>
  <si>
    <t xml:space="preserve">https://doi.org/10.1016/j.microc.2026.119128</t>
  </si>
  <si>
    <t xml:space="preserve">S0081</t>
  </si>
  <si>
    <t xml:space="preserve">A Low-Power DWS-CNN-Based Downsampling Approach for Odor Identification Using Herbal and Organic Datasets</t>
  </si>
  <si>
    <t xml:space="preserve">Akshata K. Aldi, Ravindra L. Raibagkar</t>
  </si>
  <si>
    <t xml:space="preserve">https://doi.org/10.48084/etasr.18175</t>
  </si>
  <si>
    <t xml:space="preserve">S0082</t>
  </si>
  <si>
    <t xml:space="preserve">Sistema de autenticación accesible para el hogar digital</t>
  </si>
  <si>
    <t xml:space="preserve">Gonzalo Antón García</t>
  </si>
  <si>
    <t xml:space="preserve">S0083</t>
  </si>
  <si>
    <t xml:space="preserve">DriveAware: Intelligent Driver Monitoring and Secure Access Framework for Accident Prevention and Vehicle Safety</t>
  </si>
  <si>
    <t xml:space="preserve">Yazhini S, Ajai P, Arun Kumar S, Dharish R, Diya P</t>
  </si>
  <si>
    <t xml:space="preserve">https://doi.org/10.1109/icicis65613.2025.11371251</t>
  </si>
  <si>
    <t xml:space="preserve">S0084</t>
  </si>
  <si>
    <t xml:space="preserve">IOT-BASED SMART KITCHEN WITH ENHANCED AND AUTOMATED SAFETY MEASURES</t>
  </si>
  <si>
    <t xml:space="preserve">Dr. M. Senthil Kumar, Teppala Manoj, V Sirisha, Katakam Bhavyasree, Chikatla Srikar, Dr S Venkata Achuta Rao</t>
  </si>
  <si>
    <t xml:space="preserve">https://doi.org/10.64751/ijdim.2026.v5.n2(3).1111</t>
  </si>
  <si>
    <t xml:space="preserve">S0085</t>
  </si>
  <si>
    <t xml:space="preserve">Development of a Smart Women Safety ID with Real-Time Gas Detection and Crime-Aware Emergency Alerts System</t>
  </si>
  <si>
    <t xml:space="preserve">Pratyusha Chatterjee, Rajnandini Banerjee, Debajyoti Mitra, Tanima Kole Bhowmik</t>
  </si>
  <si>
    <t xml:space="preserve">https://doi.org/10.70454/jricst.2025.20402</t>
  </si>
  <si>
    <t xml:space="preserve">S0086</t>
  </si>
  <si>
    <t xml:space="preserve">Cloud Computing based Mobile Adhoc Networked Robot for the Establishment of Wireless Communication in Military Hazardous Emergency Response Scenarios</t>
  </si>
  <si>
    <t xml:space="preserve">Palvadi Srinivas Kumar, V Praveen Kumar Bejagam, Ranjana Rajdhan, Srivel Ravi</t>
  </si>
  <si>
    <t xml:space="preserve">S0087</t>
  </si>
  <si>
    <t xml:space="preserve">A colorimetric sensing system for visualization of aroma-contributing volatile organic compounds in food and beverage products</t>
  </si>
  <si>
    <t xml:space="preserve">Tianyi Liu</t>
  </si>
  <si>
    <t xml:space="preserve">https://doi.org/10.32657/10356/182445</t>
  </si>
  <si>
    <t xml:space="preserve">S0088</t>
  </si>
  <si>
    <t xml:space="preserve">(Invited) ppb-Level NO2 Monitoring Using Lung-Inspired MOF on Graphene Hybrids Sensor</t>
  </si>
  <si>
    <t xml:space="preserve">Hyeongtae LIM, Hyeok‐jin Kwon, Hongki Kang, Jae Eun Jang, Hyuk‐Jun Kwon</t>
  </si>
  <si>
    <t xml:space="preserve">https://doi.org/10.1149/ma2024-02372563mtgabs</t>
  </si>
  <si>
    <t xml:space="preserve">S0089</t>
  </si>
  <si>
    <t xml:space="preserve">Development of an Electronic Nose Device for Security Applications</t>
  </si>
  <si>
    <t xml:space="preserve">Ricardo Macías-Quijas, Autumn Geil, Ramiro Velázquez, A. Lay-Ekuakille</t>
  </si>
  <si>
    <t xml:space="preserve">https://doi.org/10.1109/concapanxxxix47272.2019.8976974</t>
  </si>
  <si>
    <t xml:space="preserve">S0090</t>
  </si>
  <si>
    <t xml:space="preserve">Odor Sensing System for Safety, Security, and Well‐Being</t>
  </si>
  <si>
    <t xml:space="preserve">Takeshi Onodera, Yuanchang Liu</t>
  </si>
  <si>
    <t xml:space="preserve">https://doi.org/10.1002/tee.70326</t>
  </si>
  <si>
    <t xml:space="preserve">S0091</t>
  </si>
  <si>
    <t xml:space="preserve">Sensor drone for aerial odor mapping for agriculture and security services</t>
  </si>
  <si>
    <t xml:space="preserve">Theerapat Pobkrut, Tanthip Eamsa-ard, Teerakiat Kerdcharoen</t>
  </si>
  <si>
    <t xml:space="preserve">https://doi.org/10.1109/ecticon.2016.7561340</t>
  </si>
  <si>
    <t xml:space="preserve">S0092</t>
  </si>
  <si>
    <t xml:space="preserve">Electronic Nose and Its Applications: A Survey</t>
  </si>
  <si>
    <t xml:space="preserve">Diclehan Ulucan, Oguzhan Ulucan, Mehmet Türkan</t>
  </si>
  <si>
    <t xml:space="preserve">https://doi.org/10.1007/s11633-019-1212-9</t>
  </si>
  <si>
    <t xml:space="preserve">S0093</t>
  </si>
  <si>
    <t xml:space="preserve">Human Odor Security Using E-nose</t>
  </si>
  <si>
    <t xml:space="preserve">V. Anush Kumar, V. Anush Kumar, C. S. Manigandaa, S. Dhanush Hariharan, Challapalli Manikantaa, G. Saranya, V. D. Ambeth Kumar, V. D. Ambeth Kumar</t>
  </si>
  <si>
    <t xml:space="preserve">https://doi.org/10.1007/978-981-99-1051-9_4</t>
  </si>
  <si>
    <t xml:space="preserve">S0094</t>
  </si>
  <si>
    <t xml:space="preserve">Electronic Noses: From Advanced Materials to Sensors Aided with Data Processing</t>
  </si>
  <si>
    <t xml:space="preserve">Wenwen Hu, Liangtian Wan, Yingying Jian, Cong Ren, Ke Jin, Xinghua Su, Xiaoxia Bai, Hossam Haick, Ming‐Shui Yao, Weiwei Wu</t>
  </si>
  <si>
    <t xml:space="preserve">https://doi.org/10.1002/admt.201800488</t>
  </si>
  <si>
    <t xml:space="preserve">S0095</t>
  </si>
  <si>
    <t xml:space="preserve">Nanostructured Metal Oxide Gas Sensors, a Survey of Applications Carried out at SENSOR Lab, Brescia (Italy) in the Security and Food Quality Fields</t>
  </si>
  <si>
    <t xml:space="preserve">Andrea Ponzoni, Elisabetta Comini, Isabella Concina, Matteo Ferroni, M. Falasconi, Emanuela Gobbi, Veronica Sberveglieri, Giorgio Sberveglieri</t>
  </si>
  <si>
    <t xml:space="preserve">https://doi.org/10.3390/s121217023</t>
  </si>
  <si>
    <t xml:space="preserve">S0096</t>
  </si>
  <si>
    <t xml:space="preserve">System Security Employing Odor Identification with Neural Networks</t>
  </si>
  <si>
    <t xml:space="preserve">Mahmoud Zaki Iskandarani</t>
  </si>
  <si>
    <t xml:space="preserve">https://doi.org/10.1109/icecet55527.2022.9872929</t>
  </si>
  <si>
    <t xml:space="preserve">S0097</t>
  </si>
  <si>
    <t xml:space="preserve">The Security Situation of China's Tea and Origin Traceability Technology</t>
  </si>
  <si>
    <t xml:space="preserve">Liu Yan-fan</t>
  </si>
  <si>
    <t xml:space="preserve">S0098</t>
  </si>
  <si>
    <t xml:space="preserve">Ensuring food security: Strategies for insect pest detection in storage - A review</t>
  </si>
  <si>
    <t xml:space="preserve">B. Keerthana, Gnanadhas Preetha, Vangili Ramasami Saminathan, Tamilmani Eevera, D. Ramesh, M. Ashok, K. Logeswaran</t>
  </si>
  <si>
    <t xml:space="preserve">https://doi.org/10.47836/ifrj.32.2.05</t>
  </si>
  <si>
    <t xml:space="preserve">S0099</t>
  </si>
  <si>
    <t xml:space="preserve">From Sniffer Dogs to Emerging Sniffer Devices for Airport Security: An Opportunity to Rethink Privacy Implications?</t>
  </si>
  <si>
    <t xml:space="preserve">Matteo E. Bonfanti</t>
  </si>
  <si>
    <t xml:space="preserve">https://doi.org/10.1007/s11948-014-9528-x</t>
  </si>
  <si>
    <t xml:space="preserve">Ethics/law analysis of e-nose sniffers</t>
  </si>
  <si>
    <t xml:space="preserve">Charted from abstract only. Privacy and data-protection analysis of e-nose screening; no technical evaluation. Strong background citation (odourprint, ethnicity inference). | Privacy implications of e-nose sensing</t>
  </si>
  <si>
    <t xml:space="preserve">S0100</t>
  </si>
  <si>
    <t xml:space="preserve">Rhizospheric volatilome in modulating induced systemic resistance against biotic stress: A new paradigm for future food security</t>
  </si>
  <si>
    <t xml:space="preserve">Sugitha Thankappan, Shobana Narayanasamy, A.P. Sridharan, A.K. Binodh, A. Nirmala Kumari, P. Parasuraman, Sivakumar Uthandi</t>
  </si>
  <si>
    <t xml:space="preserve">https://doi.org/10.1016/j.pmpp.2022.101852</t>
  </si>
  <si>
    <t xml:space="preserve">S0101</t>
  </si>
  <si>
    <t xml:space="preserve">Smart-Trace: A Future Security Aid Using Body Odor Sensing of an Individual with IoT</t>
  </si>
  <si>
    <t xml:space="preserve">Prathyusha Kanakam, S. Mahaboob Hussain, A. S. N. Chakravarthy</t>
  </si>
  <si>
    <t xml:space="preserve">https://doi.org/10.2139/ssrn.3166726</t>
  </si>
  <si>
    <t xml:space="preserve">S0102</t>
  </si>
  <si>
    <t xml:space="preserve">High-speed odor sensing using miniaturized electronic nose</t>
  </si>
  <si>
    <t xml:space="preserve">Nik Dennler, Damien Drix, Tom P. A. Warner, Shavika Rastogi, Cecilia Della Casa, Tobias Ackels, Andreas T. Schaefer, André van Schaik, Michael Schmuker</t>
  </si>
  <si>
    <t xml:space="preserve">https://doi.org/10.1126/sciadv.adp1764</t>
  </si>
  <si>
    <t xml:space="preserve">S0103</t>
  </si>
  <si>
    <t xml:space="preserve">Ensuring food security through rapid and in-field detection of diseases in food crops using real time and portable sensors</t>
  </si>
  <si>
    <t xml:space="preserve">Mohamed Abdur Rahman, Muthusamy Karthikeyan, Iruthayasamy Johnson, Raja Kalimuthu, C. Sekar, Xavier Anitha Mary, Jaffer Shajith Basha</t>
  </si>
  <si>
    <t xml:space="preserve">https://doi.org/10.1016/j.ab.2025.115925</t>
  </si>
  <si>
    <t xml:space="preserve">S0104</t>
  </si>
  <si>
    <t xml:space="preserve">Electronic noses</t>
  </si>
  <si>
    <t xml:space="preserve">William J. Peveler, Ivan  Paul Parkin</t>
  </si>
  <si>
    <t xml:space="preserve">https://doi.org/10.4324/9780203431405-28</t>
  </si>
  <si>
    <t xml:space="preserve">S0105</t>
  </si>
  <si>
    <t xml:space="preserve">Electronic Noses</t>
  </si>
  <si>
    <t xml:space="preserve">Lawrence Nsubuga, Roana de Oliveira Hansen</t>
  </si>
  <si>
    <t xml:space="preserve">https://doi.org/10.1016/b978-0-323-95478-5.00002-9</t>
  </si>
  <si>
    <t xml:space="preserve">S0106</t>
  </si>
  <si>
    <t xml:space="preserve">Electronic noses based on metal oxide nanowires: A review</t>
  </si>
  <si>
    <t xml:space="preserve">Matteo Tonezzer, Dang Thi Thanh Le, Lai Van Duy, Nguyễn Đức Hòa, Flavia Gasperi, Nguyễn Văn Duy, Franco Biasioli</t>
  </si>
  <si>
    <t xml:space="preserve">https://doi.org/10.1515/ntrev-2022-0056</t>
  </si>
  <si>
    <t xml:space="preserve">S0107</t>
  </si>
  <si>
    <t xml:space="preserve">Electronic Nose Technology and Application: A Review</t>
  </si>
  <si>
    <t xml:space="preserve">Ana Antoniette C. Illahi, Elmer P. Dadios, Argel Alejandro Bandala, Ryan Rhay P. Vicerra</t>
  </si>
  <si>
    <t xml:space="preserve">https://doi.org/10.1109/hnicem54116.2021.9731890</t>
  </si>
  <si>
    <t xml:space="preserve">S0108</t>
  </si>
  <si>
    <t xml:space="preserve">Identification of mouldy rice using an electronic nose combined with SPME-GC/MS</t>
  </si>
  <si>
    <t xml:space="preserve">Jixiang Zhang, Bo Zhang, Jingyuan Dong, Yanyan Tian, Yingxue Lin, Guozhen Fang, Shuo Wang</t>
  </si>
  <si>
    <t xml:space="preserve">https://doi.org/10.1016/j.jspr.2021.101921</t>
  </si>
  <si>
    <t xml:space="preserve">S0109</t>
  </si>
  <si>
    <t xml:space="preserve">Early detection and classification of fungal infection in garlic (A. sativum) using electronic nose</t>
  </si>
  <si>
    <t xml:space="preserve">Alireza Makarichian, Reza Amiri Chayjan, Ebrahim Ahmadi, Doostmorad Zafari</t>
  </si>
  <si>
    <t xml:space="preserve">https://doi.org/10.1016/j.compag.2021.106575</t>
  </si>
  <si>
    <t xml:space="preserve">S0110</t>
  </si>
  <si>
    <t xml:space="preserve">Electronic Noses and Traceability of Foods</t>
  </si>
  <si>
    <t xml:space="preserve">Constantin Apetrei, Alexandra Virginia Bounegru</t>
  </si>
  <si>
    <t xml:space="preserve">https://doi.org/10.1016/b978-0-08-100596-5.22852-7</t>
  </si>
  <si>
    <t xml:space="preserve">S0111</t>
  </si>
  <si>
    <t xml:space="preserve">Data Fusion of Electronic Nose and Electronic Tongue for Detection of Mixed Edible-Oil</t>
  </si>
  <si>
    <t xml:space="preserve">Hong Men, Donglin Chen, Xiaoting Zhang, Jingjing Liu, Ke Ning</t>
  </si>
  <si>
    <t xml:space="preserve">https://doi.org/10.1155/2014/840685</t>
  </si>
  <si>
    <t xml:space="preserve">S0112</t>
  </si>
  <si>
    <t xml:space="preserve">A comprehensive review of electronic nose systems: design, sensors, and future directions</t>
  </si>
  <si>
    <t xml:space="preserve">Umar Ijaz, Mohsin Ali, Ibtisam Ahmad, Syed Ameer Hamza, Hee‐Dong Kim</t>
  </si>
  <si>
    <t xml:space="preserve">https://doi.org/10.1016/j.cej.2025.169482</t>
  </si>
  <si>
    <t xml:space="preserve">S0113</t>
  </si>
  <si>
    <t xml:space="preserve">Detection of Microorganism in Water and Different Food Matrix by Electronic Nose</t>
  </si>
  <si>
    <t xml:space="preserve">Veronica Sberveglieri, Estefanía Núñez-Carmona, Andrea Pulvirenti</t>
  </si>
  <si>
    <t xml:space="preserve">https://doi.org/10.1007/978-3-319-10948-0_12</t>
  </si>
  <si>
    <t xml:space="preserve">S0114</t>
  </si>
  <si>
    <t xml:space="preserve">Detecting Cannabis Use on the Human Skin Surface via an Electronic Nose System</t>
  </si>
  <si>
    <t xml:space="preserve">Andreas Voss, Katharina Witt, Tobias Kaschowitz, W. Poitz, Andreas Ebert, Patrik Roser, Karl‐Jürgen Bär</t>
  </si>
  <si>
    <t xml:space="preserve">https://doi.org/10.3390/s140713256</t>
  </si>
  <si>
    <t xml:space="preserve">S0115</t>
  </si>
  <si>
    <t xml:space="preserve">Electronic nose in edible insects area</t>
  </si>
  <si>
    <t xml:space="preserve">Martin Adámek, Anna Adámková, Marie Borkovcová, Jiří­ Mlček, Martina Bednářová, Lenka Kouřimská, Josef Skácel, Michal Řezní­ček</t>
  </si>
  <si>
    <t xml:space="preserve">https://doi.org/10.5219/785</t>
  </si>
  <si>
    <t xml:space="preserve">S0116</t>
  </si>
  <si>
    <t xml:space="preserve">Experimental use of electronic nose for odour detection</t>
  </si>
  <si>
    <t xml:space="preserve">Vishal Sharma, P. C. Panchariya</t>
  </si>
  <si>
    <t xml:space="preserve">https://doi.org/10.1504/ijesms.2015.072509</t>
  </si>
  <si>
    <t xml:space="preserve">S0117</t>
  </si>
  <si>
    <t xml:space="preserve">Electronic nose (e-nose): Principle and advances for seed quality assessment</t>
  </si>
  <si>
    <t xml:space="preserve">Chetna Chetna, Karantothu Suresh, Sarita Kumari, Sumeet Kumar Singh, Raj Kumar Mandal, Raj Kumar Mandal, Ashutosh Kumar Singh</t>
  </si>
  <si>
    <t xml:space="preserve">https://doi.org/10.1016/j.foodcont.2025.111291</t>
  </si>
  <si>
    <t xml:space="preserve">S0118</t>
  </si>
  <si>
    <t xml:space="preserve">A Comparative Study on Electronic Nose Data Analysis Tools</t>
  </si>
  <si>
    <t xml:space="preserve">https://doi.org/10.1109/asyu50717.2020.9259847</t>
  </si>
  <si>
    <t xml:space="preserve">S0119</t>
  </si>
  <si>
    <t xml:space="preserve">Assessment of electronic noses for support of a canine scent detection</t>
  </si>
  <si>
    <t xml:space="preserve">Mark N. Kerollos, Ka Ching Chan, Pauleen C. Bennett, Tiffani J. Howell</t>
  </si>
  <si>
    <t xml:space="preserve">S0120</t>
  </si>
  <si>
    <t xml:space="preserve">Electronic Nose for Evaluation of Banana Ripeness Monitoring</t>
  </si>
  <si>
    <t xml:space="preserve">Aliza Aini Md Ralib, Muhammad Syahmi Zulkefli, Faridah Abd Rahman, Nelidya Md Yusoff, Mohamad Nurmirza Asyraaf Sulong</t>
  </si>
  <si>
    <t xml:space="preserve">https://doi.org/10.1109/icsima66552.2025.11233417</t>
  </si>
  <si>
    <t xml:space="preserve">S0121</t>
  </si>
  <si>
    <t xml:space="preserve">Implementation Of Electronic Nose To Detect Lpg Leakage</t>
  </si>
  <si>
    <t xml:space="preserve">Sneha Patil</t>
  </si>
  <si>
    <t xml:space="preserve">https://doi.org/10.26634/jes.9.2.17990</t>
  </si>
  <si>
    <t xml:space="preserve">S0122</t>
  </si>
  <si>
    <t xml:space="preserve">Evaluation of a Commercial Electronic Nose Based on Carbon Nanotube Chemiresistors</t>
  </si>
  <si>
    <t xml:space="preserve">Ruud Peters, Niels Beijer, Bauke van ‘t Hul, Brigitte Bruijns, Sandra Munniks, Jaap Knotter</t>
  </si>
  <si>
    <t xml:space="preserve">https://doi.org/10.3390/s23115302</t>
  </si>
  <si>
    <t xml:space="preserve">S0123</t>
  </si>
  <si>
    <t xml:space="preserve">Evaluation of performance of metal oxide electronic nose for detection of aflatoxin in artificially and naturally contaminated maize</t>
  </si>
  <si>
    <t xml:space="preserve">Catherine Wanjiku Machungo, Amalia Z. Berna, Dennis B. McNevin, X. Rosalind Wang, Jagger Harvey, Stephen Trowell</t>
  </si>
  <si>
    <t xml:space="preserve">https://doi.org/10.1016/j.snb.2023.133446</t>
  </si>
  <si>
    <t xml:space="preserve">S0124</t>
  </si>
  <si>
    <t xml:space="preserve">Electronic nose for evaluation of banana ripeness monitoring</t>
  </si>
  <si>
    <t xml:space="preserve">Md Ralib @ Md Raghib, Aliza 'Aini, Zulkefli, Muhammad Syahmi, Abd. Rahman, Faridah, Md Yusoff, Nelidya, Sulong, Mohamad Nurmirza Asyraaf</t>
  </si>
  <si>
    <t xml:space="preserve">S0125</t>
  </si>
  <si>
    <t xml:space="preserve">DEVELOPMENT OF AN “ELECTRONIC NOSE” BASED ON MQ GAS SENSORS</t>
  </si>
  <si>
    <t xml:space="preserve">Stefan Ivanov</t>
  </si>
  <si>
    <t xml:space="preserve">https://doi.org/10.70456/zsss8009</t>
  </si>
  <si>
    <t xml:space="preserve">S0126</t>
  </si>
  <si>
    <t xml:space="preserve">Hand-Held Electronic Nose Sensor Selection System for Basal Stamp Rot (BSR) Disease Detection</t>
  </si>
  <si>
    <t xml:space="preserve">Abu Hassan Abdullah, Abdul Hamid Adom, Ali Yeon Md Shakaff, Munir Ahmad, Ammar Zakaria, Fathinul Syahir Ahmad Saad, Che Muhammad Nor Che Isa, Maz Jamilah Masnan, Latifah Munirah Kamarudin</t>
  </si>
  <si>
    <t xml:space="preserve">https://doi.org/10.1109/isms.2012.139</t>
  </si>
  <si>
    <t xml:space="preserve">S0127</t>
  </si>
  <si>
    <t xml:space="preserve">Electronic Nose With Detection Method for Alcohol, Acetone, and Carbon Monoxide in Coronavirus Disease 2019 Breath Simulation Model</t>
  </si>
  <si>
    <t xml:space="preserve">Tiffany C. Miller, S.D. Morgera, Stephen E. Saddow, Arash I. Takshi, Matthew Palm</t>
  </si>
  <si>
    <t xml:space="preserve">https://doi.org/10.1109/jsen.2021.3076102</t>
  </si>
  <si>
    <t xml:space="preserve">S0128</t>
  </si>
  <si>
    <t xml:space="preserve">Perspectives for Electronic Nose Technology in Green Analytical Chemistry</t>
  </si>
  <si>
    <t xml:space="preserve">Tejbali Singh, Priyanka Singh, R. D. S. Yadava</t>
  </si>
  <si>
    <t xml:space="preserve">https://doi.org/10.1201/9781003083917-10</t>
  </si>
  <si>
    <t xml:space="preserve">S0129</t>
  </si>
  <si>
    <t xml:space="preserve">Electronic Nose for Differentiation and Quantification of Yeast Species in White Fresh Soft Cheese</t>
  </si>
  <si>
    <t xml:space="preserve">Nawaf Abu‐Khalaf, Wafa Masoud</t>
  </si>
  <si>
    <t xml:space="preserve">https://doi.org/10.1155/2022/8472661</t>
  </si>
  <si>
    <t xml:space="preserve">S0130</t>
  </si>
  <si>
    <t xml:space="preserve">Liquid dangerous goods detection based on electronic nose odor recognition technology</t>
  </si>
  <si>
    <t xml:space="preserve">Lina Sun</t>
  </si>
  <si>
    <t xml:space="preserve">https://doi.org/10.1117/12.2032891</t>
  </si>
  <si>
    <t xml:space="preserve">S0131</t>
  </si>
  <si>
    <t xml:space="preserve">Development of real time smart electronic nose system for monitoring organic abundance in soil</t>
  </si>
  <si>
    <t xml:space="preserve">Ugyen Dorji, Theerapat Pobkrut, Satetha Siyang, T. Chaiyasit, Phuntsho Choden, Teerakiat Kerdcharoen</t>
  </si>
  <si>
    <t xml:space="preserve">https://doi.org/10.1109/ecticon.2017.8096198</t>
  </si>
  <si>
    <t xml:space="preserve">S0132</t>
  </si>
  <si>
    <t xml:space="preserve">Development of Cloud-based Electronic Nose for University Laboratories Air Monitoring</t>
  </si>
  <si>
    <t xml:space="preserve">Abu Hassan Abdullah, Muhammad Aizat Abu Bakar, Fathinul Syahir Ahmad Saad, Sukhairi Sudin, Zahari Awang Ahmad, Mohamed Elobaid Elshaikh, Khairul Azwan Ismail</t>
  </si>
  <si>
    <t xml:space="preserve">https://doi.org/10.1088/1757-899x/932/1/012082</t>
  </si>
  <si>
    <t xml:space="preserve">S0133</t>
  </si>
  <si>
    <t xml:space="preserve">Detection of Potential Biological and Chemical Threat Agents by Al-Driven Electronic Nose</t>
  </si>
  <si>
    <t xml:space="preserve">Mehmet Mıllı</t>
  </si>
  <si>
    <t xml:space="preserve">https://doi.org/10.56850/jnse.1693081</t>
  </si>
  <si>
    <t xml:space="preserve">S0134</t>
  </si>
  <si>
    <t xml:space="preserve">Two Dimensional Electronic Nose for Vehicular Central Locking System (E-Nose-V)</t>
  </si>
  <si>
    <t xml:space="preserve">https://doi.org/10.14569/ijacsa.2019.0100609</t>
  </si>
  <si>
    <t xml:space="preserve">S0135</t>
  </si>
  <si>
    <t xml:space="preserve">An electronic nose system supported by machine learning techniques for rapid detection of aspergillus flavus in pistachio</t>
  </si>
  <si>
    <t xml:space="preserve">Zahra Rezaee, Seyed Saeid Mohtasebi, Mohmoud Soltani Firouz</t>
  </si>
  <si>
    <t xml:space="preserve">https://doi.org/10.1007/s11694-024-02606-7</t>
  </si>
  <si>
    <t xml:space="preserve">S0136</t>
  </si>
  <si>
    <t xml:space="preserve">An Optimized Generic Framework for Multi-Gas Classification in Electronic Nose Applications</t>
  </si>
  <si>
    <t xml:space="preserve">Jinchang Ren, Yuntao Wu, Shunan Deng, Rui Chen, Huimin Zhao, Jaime Zabalza</t>
  </si>
  <si>
    <t xml:space="preserve">https://doi.org/10.1007/s12559-026-10571-0</t>
  </si>
  <si>
    <t xml:space="preserve">S0137</t>
  </si>
  <si>
    <t xml:space="preserve">Possibilities of an Electronic Nose on Piezoelectric Sensors with Polycomposite Coatings to Investigate the Microbiological Indicators of Milk</t>
  </si>
  <si>
    <t xml:space="preserve">Anastasiia Shuba, Руслан Умарханович Умарханов, Ekaterina Viktorovna Bogdanova, Ekaterina Petrovna Anokhina, Inna Yu. Burakova</t>
  </si>
  <si>
    <t xml:space="preserve">https://doi.org/10.3390/s24113634</t>
  </si>
  <si>
    <t xml:space="preserve">S0138</t>
  </si>
  <si>
    <t xml:space="preserve">Design files: High-speed odour sensing using miniaturised electronic nose</t>
  </si>
  <si>
    <t xml:space="preserve">https://doi.org/10.48550/arxiv.2406.01904</t>
  </si>
  <si>
    <t xml:space="preserve">S0139</t>
  </si>
  <si>
    <t xml:space="preserve">enose-multicentre-platform: A reproducible secure multicentre platform for heterogeneous electronic-nose acquisition</t>
  </si>
  <si>
    <t xml:space="preserve">Juan B. Talens, Tomas Sogorb, José Pelegrí-Sebastiá</t>
  </si>
  <si>
    <t xml:space="preserve">https://doi.org/10.5281/zenodo.21847103</t>
  </si>
  <si>
    <t xml:space="preserve">Secure multicentre e-nose data platform (mTLS, MQTT)</t>
  </si>
  <si>
    <t xml:space="preserve">E-nose data in transit</t>
  </si>
  <si>
    <t xml:space="preserve">Charted from abstract only. Software repository, not peer-reviewed. Directly relevant: secure transport for e-nose data; cite as background. | Secure multicentre e-nose data platform; check if peer-reviewed (E7)</t>
  </si>
  <si>
    <t xml:space="preserve">S0140</t>
  </si>
  <si>
    <t xml:space="preserve">A Comprehensive Review on the Use of Electronic Nose in Diagnosing Anosmia: Integration with Machine Learning Techniques</t>
  </si>
  <si>
    <t xml:space="preserve">S Primitha, Sindhu Ravindran, A K Reshmy, V. Shenbaga Priya, Fizza Ghulam Nabi</t>
  </si>
  <si>
    <t xml:space="preserve">https://doi.org/10.1109/icitiit64777.2025.11040996</t>
  </si>
  <si>
    <t xml:space="preserve">S0141</t>
  </si>
  <si>
    <t xml:space="preserve">A Minimal Electronic Nose Based on Graphene Functionalized with Metalated Pyrazinoporphyrazines and Phthalocyanines for Ammonia, Benzene, and Hydrogen Sulfide Discrimination</t>
  </si>
  <si>
    <t xml:space="preserve">Sonia Freddi, Luca Vaghi, Andrea Penoni, Luca Scapinello, L. Sangaletti</t>
  </si>
  <si>
    <t xml:space="preserve">https://doi.org/10.3390/chemosensors13050165</t>
  </si>
  <si>
    <t xml:space="preserve">S0142</t>
  </si>
  <si>
    <t xml:space="preserve">BombNose: A Multiple Bomb-Related Gas Prediction Model Using Machine Learning with Electronic Nose Sensor Substitution Technique</t>
  </si>
  <si>
    <t xml:space="preserve">Ana Antoniette C. Illahi, Elmer P. Dadios, Ronnie Concepcion, Argel Alejandro Bandala, Ryan Rhay P. Vicerra, Edwin Sybingco, Laurence A. Gan Lim, Kate G. Francisco</t>
  </si>
  <si>
    <t xml:space="preserve">https://doi.org/10.20965/jaciii.2022.p0834</t>
  </si>
  <si>
    <t xml:space="preserve">S0143</t>
  </si>
  <si>
    <t xml:space="preserve">A Neural Network with Multiscale Convolution and Feature Attention Based on an Electronic Nose for Rapid Detection of Common Bunt Disease in Wheat Plants</t>
  </si>
  <si>
    <t xml:space="preserve">Zhizhou Ren, Kun Liang, Y. H. Liu, Xiaoxiao Wu, Chi Zhang, Xiuming Mei, Yi Zhang</t>
  </si>
  <si>
    <t xml:space="preserve">https://doi.org/10.3390/agriculture15040415</t>
  </si>
  <si>
    <t xml:space="preserve">S0144</t>
  </si>
  <si>
    <t xml:space="preserve">Evaluation of Performance of Metal Oxide Electronic Nose for Detection of Aflatoxin in Artificially and Naturally Contaminated Maize</t>
  </si>
  <si>
    <t xml:space="preserve">https://doi.org/10.2139/ssrn.4141278</t>
  </si>
  <si>
    <t xml:space="preserve">S0145</t>
  </si>
  <si>
    <t xml:space="preserve">Development of a COVID-19 University-Based Clinic in Indonesia: A Pilot Project of The Gadjah Mada Electronic Nose Center</t>
  </si>
  <si>
    <t xml:space="preserve">Anggi Lukman Wicaksana, Nurul Dyah Kusumawati, Ella Permatasari Wibowo, Hera Nirwati</t>
  </si>
  <si>
    <t xml:space="preserve">https://doi.org/10.3889/oamjms.2022.8391</t>
  </si>
  <si>
    <t xml:space="preserve">S0146</t>
  </si>
  <si>
    <t xml:space="preserve">Performance Enhancements for Chemiresistive Electronic Noses Based upon Materials, Temperature Modulation and Signal Processing</t>
  </si>
  <si>
    <t xml:space="preserve">Kurt D. Benkstein, Nalin Katta, Baranidharan Raman, Steve Semancik</t>
  </si>
  <si>
    <t xml:space="preserve">https://doi.org/10.1149/ma2015-02/45/1809</t>
  </si>
  <si>
    <t xml:space="preserve">S0147</t>
  </si>
  <si>
    <t xml:space="preserve">Classification of Food Types in a Box with Gas Sensors Using a Machine Learning Method. Case Study of Intelligent Electronic Nose</t>
  </si>
  <si>
    <t xml:space="preserve">Alicia Montoro Lendínez, Nuno Gonçalo Coelho Costa Pombo, Bruno Silva, Macarena Espinilla, Javier Medina-Quero</t>
  </si>
  <si>
    <t xml:space="preserve">https://doi.org/10.1007/978-3-031-20319-0_37</t>
  </si>
  <si>
    <t xml:space="preserve">S0148</t>
  </si>
  <si>
    <t xml:space="preserve">Carbon Nanotube‐Based Chemical Sensors</t>
  </si>
  <si>
    <t xml:space="preserve">Meyya Meyyappan</t>
  </si>
  <si>
    <t xml:space="preserve">https://doi.org/10.1002/smll.201502555</t>
  </si>
  <si>
    <t xml:space="preserve">S0149</t>
  </si>
  <si>
    <t xml:space="preserve">S0150</t>
  </si>
  <si>
    <t xml:space="preserve">Advances in artificial olfaction: Sensors and applications</t>
  </si>
  <si>
    <t xml:space="preserve">J. Gutiérrez, M.C. Horrillo</t>
  </si>
  <si>
    <t xml:space="preserve">https://doi.org/10.1016/j.talanta.2014.02.016</t>
  </si>
  <si>
    <t xml:space="preserve">S0151</t>
  </si>
  <si>
    <t xml:space="preserve">On-Site Detection of Volatile Organic Compounds (VOCs)</t>
  </si>
  <si>
    <t xml:space="preserve">Ruben Epping, Matthias Koch</t>
  </si>
  <si>
    <t xml:space="preserve">https://doi.org/10.3390/molecules28041598</t>
  </si>
  <si>
    <t xml:space="preserve">S0152</t>
  </si>
  <si>
    <t xml:space="preserve">Review article: next generation diagnostic modalities in gastroenterology – gas phase volatile compound biomarker detection</t>
  </si>
  <si>
    <t xml:space="preserve">Ramesh Pulendran Arasaradnam, James Anthony Covington, Christopher Harmston, Chuka U Nwokolo</t>
  </si>
  <si>
    <t xml:space="preserve">https://doi.org/10.1111/apt.12657</t>
  </si>
  <si>
    <t xml:space="preserve">S0153</t>
  </si>
  <si>
    <t xml:space="preserve">Recent advances in E-monitoring of plant diseases</t>
  </si>
  <si>
    <t xml:space="preserve">Ayat Mohammad‐Razdari, David Rousseau, Adel Bakhshipour, Stephen Taylor, Jorge Poveda, Hassan Kiani</t>
  </si>
  <si>
    <t xml:space="preserve">https://doi.org/10.1016/j.bios.2021.113953</t>
  </si>
  <si>
    <t xml:space="preserve">S0154</t>
  </si>
  <si>
    <t xml:space="preserve">E-Nose and e-Tongue combination for improved recognition of fruit juice samples</t>
  </si>
  <si>
    <t xml:space="preserve">Zouhair Haddi, S. Mabrouk, Madiha Bougrini, K. Tahri, K. Sghaier, Houcine Barhoumi, Nezha El Bari, A. Maaref, Nicole J. Jaffrezic-Renault, Benachir Bouchikhi</t>
  </si>
  <si>
    <t xml:space="preserve">https://doi.org/10.1016/j.foodchem.2013.10.105</t>
  </si>
  <si>
    <t xml:space="preserve">S0155</t>
  </si>
  <si>
    <t xml:space="preserve">Biosensors for explosives: State of art and future trends</t>
  </si>
  <si>
    <t xml:space="preserve">Rui Liu, Ziyan Li, Zili Huang, Kun Li, Yi Lv</t>
  </si>
  <si>
    <t xml:space="preserve">https://doi.org/10.1016/j.trac.2019.05.034</t>
  </si>
  <si>
    <t xml:space="preserve">S0156</t>
  </si>
  <si>
    <t xml:space="preserve">The need for external validation in machine olfaction: emphasis on health-related applications</t>
  </si>
  <si>
    <t xml:space="preserve">Santiago Marco</t>
  </si>
  <si>
    <t xml:space="preserve">https://doi.org/10.1007/s00216-014-7807-7</t>
  </si>
  <si>
    <t xml:space="preserve">S0157</t>
  </si>
  <si>
    <t xml:space="preserve">Recognition and sensing of organic compounds using analytical methods, chemical sensors, and pattern recognition approaches</t>
  </si>
  <si>
    <t xml:space="preserve">Sunil Kumar Jha, R. D. S. Yadava, Kenshi Hayashi, Nilesh V. Patel</t>
  </si>
  <si>
    <t xml:space="preserve">https://doi.org/10.1016/j.chemolab.2018.12.008</t>
  </si>
  <si>
    <t xml:space="preserve">S0158</t>
  </si>
  <si>
    <t xml:space="preserve">Detection of explosive markers using zeolite modified gas sensors</t>
  </si>
  <si>
    <t xml:space="preserve">William J. Peveler, Russell Binions, Stephen M. V. Hailes, Ivan  Paul Parkin</t>
  </si>
  <si>
    <t xml:space="preserve">https://doi.org/10.1039/c2ta01027e</t>
  </si>
  <si>
    <t xml:space="preserve">S0159</t>
  </si>
  <si>
    <t xml:space="preserve">A fast and robust mixture gases identification and concentration detection algorithm based on attention mechanism equipped recurrent neural network with double loss function</t>
  </si>
  <si>
    <t xml:space="preserve">Xiaofang Pan, Zhe Zhang, Haien Zhang, Zhihuang Wen, Wenbin Ye, Yatao Yang, Junxian Ma, Xiaojin Zhao</t>
  </si>
  <si>
    <t xml:space="preserve">https://doi.org/10.1016/j.snb.2021.129982</t>
  </si>
  <si>
    <t xml:space="preserve">S0160</t>
  </si>
  <si>
    <t xml:space="preserve">Artificial Olfactory Biohybrid System: An Evolving Sense of Smell</t>
  </si>
  <si>
    <t xml:space="preserve">Chuanting Qin, Yi Wang, Jiawang Hu, Ting Wang, Dong Liu, Jian Dong, Yuan Lu</t>
  </si>
  <si>
    <t xml:space="preserve">https://doi.org/10.1002/advs.202204726</t>
  </si>
  <si>
    <t xml:space="preserve">S0161</t>
  </si>
  <si>
    <t xml:space="preserve">Bio-Inspired Strategies for Improving the Selectivity and Sensitivity of Artificial Noses: A Review</t>
  </si>
  <si>
    <t xml:space="preserve">Charlotte Hurot, Natale Scaramozzino, Arnaud Buhot, Yanxia Hou</t>
  </si>
  <si>
    <t xml:space="preserve">https://doi.org/10.3390/s20061803</t>
  </si>
  <si>
    <t xml:space="preserve">S0162</t>
  </si>
  <si>
    <t xml:space="preserve">Review of Surface Acoustic Wave Sensors for the Detectionand Identification of Toxic Environmental Gases/Vapours</t>
  </si>
  <si>
    <t xml:space="preserve">Gowdhaman Panneerselvam, Venkatesan Thirumal, Haresh M. Pandya</t>
  </si>
  <si>
    <t xml:space="preserve">https://doi.org/10.24425/123908</t>
  </si>
  <si>
    <t xml:space="preserve">S0163</t>
  </si>
  <si>
    <t xml:space="preserve">Future Potential of E-Nose Technology: A Review</t>
  </si>
  <si>
    <t xml:space="preserve">Furizal Furizal, Alfian Ma’arif, Asno Azzawagama Firdaus, Wahyu Rahmaniar</t>
  </si>
  <si>
    <t xml:space="preserve">https://doi.org/10.31763/ijrcs.v3i3.1091</t>
  </si>
  <si>
    <t xml:space="preserve">S0164</t>
  </si>
  <si>
    <t xml:space="preserve">Explosive sensing with insect-based biorobots</t>
  </si>
  <si>
    <t xml:space="preserve">Debajit Saha, Darshit Mehta, Ege Altan, Rishabh Chandak, Mike Traner, Ray Lo, Prashant Gupta, Srikanth Singamaneni, Shantanu Chakrabartty, Baranidharan Raman</t>
  </si>
  <si>
    <t xml:space="preserve">https://doi.org/10.1016/j.biosx.2020.100050</t>
  </si>
  <si>
    <t xml:space="preserve">S0165</t>
  </si>
  <si>
    <t xml:space="preserve">Detection of Bacterial Pathogens and Antibiotic Residues in Chicken Meat: A Review</t>
  </si>
  <si>
    <t xml:space="preserve">Harsh Kumar, Kanchan Bhardwaj, Talwinder Kaur, Eugenie Nepovimová, Kamil Kuča, Vinod Kumar, Shashi Kant Bhatia, Daljeet Singh Dhanjal, Chirag Chopra, Reena Singh, Shivani Guleria, Tek Chand Bhalla, Rachna Verma, Dinesh Kumar</t>
  </si>
  <si>
    <t xml:space="preserve">https://doi.org/10.3390/foods9101504</t>
  </si>
  <si>
    <t xml:space="preserve">S0166</t>
  </si>
  <si>
    <t xml:space="preserve">Advanced biosensing technologies for monitoring of agriculture pests and diseases: A review</t>
  </si>
  <si>
    <t xml:space="preserve">Jiayao He, Ke Chen, Xubin Pan, Junfeng Zhai, Xiangmei Lin</t>
  </si>
  <si>
    <t xml:space="preserve">https://doi.org/10.1088/1674-4926/44/2/023104</t>
  </si>
  <si>
    <t xml:space="preserve">S0167</t>
  </si>
  <si>
    <t xml:space="preserve">Research Progress on Traceability and Authenticity of Beef</t>
  </si>
  <si>
    <t xml:space="preserve">Yang Bai, Haijin Liu, Bin Zhang, Jiukai Zhang, Hao Wu, Shanshan Zhao, Mengjie Qie, Jun Guo, Qian Wang, Yan Zhao</t>
  </si>
  <si>
    <t xml:space="preserve">https://doi.org/10.1080/87559129.2021.1936000</t>
  </si>
  <si>
    <t xml:space="preserve">S0168</t>
  </si>
  <si>
    <t xml:space="preserve">Nanosensors in hazardous explosives trace detection - challenges and Future directions</t>
  </si>
  <si>
    <t xml:space="preserve">Saleem Khan, Uvais Valiyaneerilakkal, Suresh Kumar, Anoop Singh, Aamir Ahmed, H. C. S. Perera, Rajesh Mahadeva, Janaka Alawatugoda, Sandeep Kumar Arya</t>
  </si>
  <si>
    <t xml:space="preserve">https://doi.org/10.1016/j.microc.2024.110474</t>
  </si>
  <si>
    <t xml:space="preserve">S0169</t>
  </si>
  <si>
    <t xml:space="preserve">Emerging Applications of Versatile Polyaniline-Based Polymers in the Food Industry</t>
  </si>
  <si>
    <t xml:space="preserve">Min Rui Chia, Sook‐Wai Phang, Ishak B. Ahmad</t>
  </si>
  <si>
    <t xml:space="preserve">https://doi.org/10.3390/polym14235168</t>
  </si>
  <si>
    <t xml:space="preserve">S0170</t>
  </si>
  <si>
    <t xml:space="preserve">Olfaction on a chip</t>
  </si>
  <si>
    <t xml:space="preserve">Timir Datta, Ricardo C. Araneda, Pamela Abshire, Elisabeth Smela</t>
  </si>
  <si>
    <t xml:space="preserve">https://doi.org/10.1016/j.snb.2016.05.048</t>
  </si>
  <si>
    <t xml:space="preserve">S0171</t>
  </si>
  <si>
    <t xml:space="preserve">A selective feature optimized multi-sensor based e-nose system detecting illegal drugs validated in diverse laboratory conditions</t>
  </si>
  <si>
    <t xml:space="preserve">Hyung Wook Noh, Yongwon Jang, Hwin Dol Park, Dohyeun kim, Jae Hun Choi, Chang-Geun Ahn</t>
  </si>
  <si>
    <t xml:space="preserve">https://doi.org/10.1016/j.snb.2023.133965</t>
  </si>
  <si>
    <t xml:space="preserve">S0172</t>
  </si>
  <si>
    <t xml:space="preserve">Chemical Sensor Technologies for Sustainable Development: Recent Advances, Classification, and Environmental Monitoring</t>
  </si>
  <si>
    <t xml:space="preserve">Abel Inobeme, Arunadevi Natarajan, Safalmani Pradhan, Charles Oluwaseun Adetunji, Alexander Ikechukwu Ajai, Jonathan Inobeme, Mathew John Tsado, John Olusanya Jacob, Shyam Sunder Pandey, Kshitij RB Singh, Jay Singh</t>
  </si>
  <si>
    <t xml:space="preserve">https://doi.org/10.1002/adsr.202400066</t>
  </si>
  <si>
    <t xml:space="preserve">S0173</t>
  </si>
  <si>
    <t xml:space="preserve">Dual-transduction-mode sensing approach for chemical detection</t>
  </si>
  <si>
    <t xml:space="preserve">Liang Wang, James S. Swensen</t>
  </si>
  <si>
    <t xml:space="preserve">https://doi.org/10.1016/j.snb.2012.08.036</t>
  </si>
  <si>
    <t xml:space="preserve">S0174</t>
  </si>
  <si>
    <t xml:space="preserve">Nano Sensors and Pattern Recognition for Detection of Hidden Explosives</t>
  </si>
  <si>
    <t xml:space="preserve">N. Manasa</t>
  </si>
  <si>
    <t xml:space="preserve">https://doi.org/10.1145/2905055.2905218</t>
  </si>
  <si>
    <t xml:space="preserve">S0175</t>
  </si>
  <si>
    <t xml:space="preserve">Non-Destructive Pest Detection: Innovations and Challenges in Sensing Airborne Semiochemicals</t>
  </si>
  <si>
    <t xml:space="preserve">Ming Chen, Maryam Yazdani, Krishnan Murugappan</t>
  </si>
  <si>
    <t xml:space="preserve">https://doi.org/10.1021/acssensors.4c02049</t>
  </si>
  <si>
    <t xml:space="preserve">S0176</t>
  </si>
  <si>
    <t xml:space="preserve">Prompt Electronic Discrimination of Gas Molecules by Self-Heating Temperature Modulation</t>
  </si>
  <si>
    <t xml:space="preserve">Meng Li, Chanunthorn Chananonnawathorn, Ning Pan, Saksorn Limwichean, Zanhong Deng, Mati Horprathum, Junqing Chang, Shimao Wang, Hideki Nakajima, Annop Klamchuen, Liang Li, Gang Meng</t>
  </si>
  <si>
    <t xml:space="preserve">https://doi.org/10.1021/acssensors.3c01839</t>
  </si>
  <si>
    <t xml:space="preserve">S0177</t>
  </si>
  <si>
    <t xml:space="preserve">Recent Advances in Traceability, Authentication, and Bioactive Profiling of Fruit and Fruit‐Based Products Using Analytical Techniques Combined With Chemometrics</t>
  </si>
  <si>
    <t xml:space="preserve">Muhammad Arslan, Muhammad Zareef, Mubrrah Afzal, Haroon Elrasheid Tahir, Halah Aalim, Naymul Karim, Mohammad Rezaul Islam Shishir, Hamza M. A. Abaker, Allah Rakha, Xiaobo Zou</t>
  </si>
  <si>
    <t xml:space="preserve">https://doi.org/10.1111/1541-4337.70278</t>
  </si>
  <si>
    <t xml:space="preserve">S0178</t>
  </si>
  <si>
    <t xml:space="preserve">Integrating sniffer bees into security and defenses: Advancements in the detection of explosives and illicit substances</t>
  </si>
  <si>
    <t xml:space="preserve">R. Devaraj, Karthiga AR, Hijam Shila Devi, RM Srivastava, Srikanth N, Sala Srivarsha</t>
  </si>
  <si>
    <t xml:space="preserve">https://doi.org/10.33545/26174693.2026.v10.i6h.8707</t>
  </si>
  <si>
    <t xml:space="preserve">S0179</t>
  </si>
  <si>
    <t xml:space="preserve">Towards bionic noses</t>
  </si>
  <si>
    <t xml:space="preserve">Krishna C. Persaud</t>
  </si>
  <si>
    <t xml:space="preserve">https://doi.org/10.1108/sr-10-2016-0238</t>
  </si>
  <si>
    <t xml:space="preserve">S0180</t>
  </si>
  <si>
    <t xml:space="preserve">Advancing Fruit Quality Monitoring with Artificial Intelligence-Augmented Non-Destructive Technologies</t>
  </si>
  <si>
    <t xml:space="preserve">Ying Fu, Da‐Wen Sun</t>
  </si>
  <si>
    <t xml:space="preserve">https://doi.org/10.1007/s12393-026-09437-w</t>
  </si>
  <si>
    <t xml:space="preserve">S0181</t>
  </si>
  <si>
    <t xml:space="preserve">Current Opportunities and Trends in the Gas Sensor Market: A Focus on e-Noses and Their Applications in Food Industry</t>
  </si>
  <si>
    <t xml:space="preserve">Selene Mor, Buse Gunay, Michele Zanotti, Michele Galvani, Stefania Pagliara, L. Sangaletti</t>
  </si>
  <si>
    <t xml:space="preserve">https://doi.org/10.3390/chemosensors13050181</t>
  </si>
  <si>
    <t xml:space="preserve">S0182</t>
  </si>
  <si>
    <t xml:space="preserve">Electronic Olfaction System on a Chip</t>
  </si>
  <si>
    <t xml:space="preserve">Kea‐Tiong Tang, Rodney M. Goodman</t>
  </si>
  <si>
    <t xml:space="preserve">S0183</t>
  </si>
  <si>
    <t xml:space="preserve">Temperature Sensor Application for Modern Temperature Control</t>
  </si>
  <si>
    <t xml:space="preserve">M.H. Feldman</t>
  </si>
  <si>
    <t xml:space="preserve">S0184</t>
  </si>
  <si>
    <t xml:space="preserve">Portable solutions for quality control of beers: a review</t>
  </si>
  <si>
    <t xml:space="preserve">Ana Carolina de Andrade Lima Orlandi, Amanda Felipe Reitenbach, Talita Souza Carmo, Grace Ferreira Ghesti</t>
  </si>
  <si>
    <t xml:space="preserve">https://doi.org/10.5327/fst.00051</t>
  </si>
  <si>
    <t xml:space="preserve">S0185</t>
  </si>
  <si>
    <t xml:space="preserve">Advanced non-destructive detection methods for monitoring biological factors in post-harvest maize losses during transportation and storage</t>
  </si>
  <si>
    <t xml:space="preserve">Bridget Ama Kwadzokpui, Hao Lin, Nana Adwoa Nkuma Johnson, Selorm Yao‐Say Solomon Adade, Li Dandan, Xorlali Nunekpeku, Long Xinyao, John‐Nelson Ekumah</t>
  </si>
  <si>
    <t xml:space="preserve">https://doi.org/10.1016/j.jfca.2026.109212</t>
  </si>
  <si>
    <t xml:space="preserve">S0186</t>
  </si>
  <si>
    <t xml:space="preserve">Water quality classification and monitoring using e-nose and e-tongue in aquaculture farming</t>
  </si>
  <si>
    <t xml:space="preserve">K. N. A. K. Adnan, N. Yusuf, H. N. Maamor, F. N. A. Rashid, S. W. M. Ismail, Reena Thriumani, Ammar Zakaria, Latifah Munirah Kamarudin, Ali Yeon Md Shakaff, M. N. Jaafar, Munir Ahmad</t>
  </si>
  <si>
    <t xml:space="preserve">https://doi.org/10.1109/iced.2014.7015827</t>
  </si>
  <si>
    <t xml:space="preserve">S0187</t>
  </si>
  <si>
    <t xml:space="preserve">Recent advances in e-nose for potential applications in Covid-19 infection</t>
  </si>
  <si>
    <t xml:space="preserve">Jay Rana, Sonal Desai</t>
  </si>
  <si>
    <t xml:space="preserve">https://doi.org/10.1016/j.talo.2024.100363</t>
  </si>
  <si>
    <t xml:space="preserve">S0188</t>
  </si>
  <si>
    <t xml:space="preserve">Technological innovations for reducing tomato loss in the agri-food industry</t>
  </si>
  <si>
    <t xml:space="preserve">Irene Domínguez, José Luis del Rı́o, Víctor Ortiz-Somovilla, Emma Cantos‐Villar</t>
  </si>
  <si>
    <t xml:space="preserve">https://doi.org/10.1016/j.foodres.2025.115798</t>
  </si>
  <si>
    <t xml:space="preserve">S0189</t>
  </si>
  <si>
    <t xml:space="preserve">Detection of Improvised Explosive Devices Using Nanotechnology</t>
  </si>
  <si>
    <t xml:space="preserve">K. Muthukumar</t>
  </si>
  <si>
    <t xml:space="preserve">https://doi.org/10.51983/ajes-2012.1.1.1655</t>
  </si>
  <si>
    <t xml:space="preserve">S0190</t>
  </si>
  <si>
    <t xml:space="preserve">Current Trends and Challenges in Explosives Detection using Nanotechnology</t>
  </si>
  <si>
    <t xml:space="preserve">Rama Sharma</t>
  </si>
  <si>
    <t xml:space="preserve">https://doi.org/10.2174/2666145416666230320155236</t>
  </si>
  <si>
    <t xml:space="preserve">S0191</t>
  </si>
  <si>
    <t xml:space="preserve">E-NOSE Technology: An Eminent Tool for Early Detection of Plant Diseases</t>
  </si>
  <si>
    <t xml:space="preserve">S P Heyram, P K Sajeesh, Sainamole Kurian P., A S Bhavana, Liyann Sabu</t>
  </si>
  <si>
    <t xml:space="preserve">https://doi.org/10.9734/jsrr/2025/v31i103580</t>
  </si>
  <si>
    <t xml:space="preserve">S0192</t>
  </si>
  <si>
    <t xml:space="preserve">Modeling of Vapor Sorption in Nanoparticle Chemiresistors</t>
  </si>
  <si>
    <t xml:space="preserve">Alexandra M. Oliveira</t>
  </si>
  <si>
    <t xml:space="preserve">S0193</t>
  </si>
  <si>
    <t xml:space="preserve">Cloud-based System for University Laboratories Air Monitoring</t>
  </si>
  <si>
    <t xml:space="preserve">Abu Hassan Abdullah, Sukhairi Sudin, Mussa Mustafa, Muhammad Aizat Abu Bakar, Fathinul Syahir Ahmad Saad, Zoeema Ahmad, Mohamed Elobaid Elshaikh, Khairul Azwan Ismail, Anwar Ahmad, Sara Yasina Yusuf</t>
  </si>
  <si>
    <t xml:space="preserve">https://doi.org/10.1088/1757-899x/917/1/012034</t>
  </si>
  <si>
    <t xml:space="preserve">S0194</t>
  </si>
  <si>
    <t xml:space="preserve">Технологии распознавания территории по образу на карте, космо-, аэрофотоснимке, фотографии (ГИС-технологии «с одного взгляда»)</t>
  </si>
  <si>
    <t xml:space="preserve">Григорьева Марина Александровна, Маркелов Данила Андреевич, Маркелов Андрей Владимирович, Минеева Надежда Яковлевна, Полынова Ольга Евгеньевна, Акользин Андрей Павлович</t>
  </si>
  <si>
    <t xml:space="preserve">AI-suggested, confirm. Not in English</t>
  </si>
  <si>
    <t xml:space="preserve">S0195</t>
  </si>
  <si>
    <t xml:space="preserve">Prediction of Toxic Gases Using Intelligent Multi-sensors Combined with Artificial Neural Networks</t>
  </si>
  <si>
    <t xml:space="preserve">Slimane Ouhmad</t>
  </si>
  <si>
    <t xml:space="preserve">https://doi.org/10.9790/3021-041214752</t>
  </si>
  <si>
    <t xml:space="preserve">S0196</t>
  </si>
  <si>
    <t xml:space="preserve">Integration of bio-inspired, control-based visual and olfactory data for the detection of an elusive target</t>
  </si>
  <si>
    <t xml:space="preserve">Tuan A. Duong, Nghi Duong, Duong Le</t>
  </si>
  <si>
    <t xml:space="preserve">https://doi.org/10.1063/1.4972643</t>
  </si>
  <si>
    <t xml:space="preserve">S0197</t>
  </si>
  <si>
    <t xml:space="preserve">Seafood Quality Assessment with Explainable Artificial Intelligence</t>
  </si>
  <si>
    <t xml:space="preserve">Francesca Maries P. Buguis, Marie Ashley C. Ordoñez, Geraldine Audrey V. Uganiza, Jonalyn S. Villanueva, Ma. Sheila A. Magboo, Vincent Peter C. Magboo</t>
  </si>
  <si>
    <t xml:space="preserve">https://doi.org/10.1109/icecet63943.2025.11472515</t>
  </si>
  <si>
    <t xml:space="preserve">S0198</t>
  </si>
  <si>
    <t xml:space="preserve">Challenges in Wireless Chemical Sensor Networks</t>
  </si>
  <si>
    <t xml:space="preserve">Saverio De Vito</t>
  </si>
  <si>
    <t xml:space="preserve">https://doi.org/10.1201/b13870-2</t>
  </si>
  <si>
    <t xml:space="preserve">Wireless chemical sensor networks (chapter)</t>
  </si>
  <si>
    <t xml:space="preserve">Charted from abstract only (abstract supplied by author). Covers chemical sensing and e-noses but no protection of data. Background only. | Check for security content</t>
  </si>
  <si>
    <t xml:space="preserve">S0199</t>
  </si>
  <si>
    <t xml:space="preserve">Research progress on authentication methods for edible oils adulteration</t>
  </si>
  <si>
    <t xml:space="preserve">Sun Shu</t>
  </si>
  <si>
    <t xml:space="preserve">S0200</t>
  </si>
  <si>
    <t xml:space="preserve">A Critical Review of Methodologies Used for the Detection of Insects in Wood Products</t>
  </si>
  <si>
    <t xml:space="preserve">Haolin Wei</t>
  </si>
  <si>
    <t xml:space="preserve">S0201</t>
  </si>
  <si>
    <t xml:space="preserve">Smart innovations in stored grain protection</t>
  </si>
  <si>
    <t xml:space="preserve">Uttam Kumar Behera, Manoj Kumar Rout, Chiitaranjan Sahoo, Soubhagya Behera, Pravasini Behera, Preeti Binta Lakra, Jayanta Beura, Neha Pradhan</t>
  </si>
  <si>
    <t xml:space="preserve">https://doi.org/10.33545/26180723.2025.v8.i7d.2144</t>
  </si>
  <si>
    <t xml:space="preserve">S0202</t>
  </si>
  <si>
    <t xml:space="preserve">Recent Advances and Unaddressed Challenges in Biomimetic Olfactory- and Taste-Based Biosensors: Moving Towards Integrated, AI-Powered, and Market-Ready Sensing Systems</t>
  </si>
  <si>
    <t xml:space="preserve">Zunaira Khalid, Yuqi Chen, Xinyi Liu, Beenish Noureen, Yating Chen, Miaomiao Wang, Yao Ma, Liping Du, Chunsheng Wu</t>
  </si>
  <si>
    <t xml:space="preserve">https://doi.org/10.3390/s25227000</t>
  </si>
  <si>
    <t xml:space="preserve">S0203</t>
  </si>
  <si>
    <t xml:space="preserve">20.4 MEMS-Free 4096-Pixel CMOS E-Nose Gas-Sensor Array with Molecular-Selective Metal-Organic-Framework Sensing and In-Pixel Thermodynamic Modulation for Fast Sensor Regeneration</t>
  </si>
  <si>
    <t xml:space="preserve">Marco A. Saif, Fuze Jiang, Shao–Wei Lo, Adam Y. Wang, Zhi-Kai Huang, Jiachen Wang, Hangxing Liu, Chih‐Jen Shih, Thomas Burger, Hua Wang</t>
  </si>
  <si>
    <t xml:space="preserve">https://doi.org/10.1109/isscc49661.2025.10904809</t>
  </si>
  <si>
    <t xml:space="preserve">S0204</t>
  </si>
  <si>
    <t xml:space="preserve">Nanotechnological Nano Noses</t>
  </si>
  <si>
    <t xml:space="preserve">Pradeep Kumar Singh, Monika Goyal, Rajat Yadav</t>
  </si>
  <si>
    <t xml:space="preserve">https://doi.org/10.1088/1757-899x/988/1/012072</t>
  </si>
  <si>
    <t xml:space="preserve">S0205</t>
  </si>
  <si>
    <t xml:space="preserve">Detection of IED Using Nanotechnology</t>
  </si>
  <si>
    <t xml:space="preserve">Karuppan Muthukumar</t>
  </si>
  <si>
    <t xml:space="preserve">S0206</t>
  </si>
  <si>
    <t xml:space="preserve">The exhaled breath pattern as a potential method for biometrics identification</t>
  </si>
  <si>
    <t xml:space="preserve">Anna Paleczek, Justyna Grochala, Dominik Grochala, Agnieszka Pręgowska, Magdalena E Osial, Richard O. Oyeleke, Małgorzata Pihut, Jolanta E. Loster, Artur Maciej Rydosz</t>
  </si>
  <si>
    <t xml:space="preserve">https://doi.org/10.1038/s41598-025-19463-z</t>
  </si>
  <si>
    <t xml:space="preserve">Portable e-nose + ML (11 MOX/electrochemical sensors)</t>
  </si>
  <si>
    <t xml:space="preserve">Breath profile (attribute inference) (I2)</t>
  </si>
  <si>
    <t xml:space="preserve">Full text read. 94 participants; gender predicted from breath at 87.5% accuracy, BMI MAE ~4 kg/m2. Shows breath data reveal personal attributes. Notes sensor drift and need for encryption. | Breath as biometric -&gt; re-identification risk</t>
  </si>
  <si>
    <t xml:space="preserve">S0207</t>
  </si>
  <si>
    <t xml:space="preserve">Hybrid Nanostructures for Artificial Machine Olfaction</t>
  </si>
  <si>
    <t xml:space="preserve">Landon Oakes</t>
  </si>
  <si>
    <t xml:space="preserve">S0208</t>
  </si>
  <si>
    <t xml:space="preserve">Resonant Nanocantilever Chemical Vapor Sensors</t>
  </si>
  <si>
    <t xml:space="preserve">Heather C. McCaig</t>
  </si>
  <si>
    <t xml:space="preserve">https://doi.org/10.7907/z957191q.</t>
  </si>
  <si>
    <t xml:space="preserve">S0209</t>
  </si>
  <si>
    <t xml:space="preserve">Recent advances in crop pest detection, forecasting and early warning: A review</t>
  </si>
  <si>
    <t xml:space="preserve">Yuanyuan Yang, Liping Chen, Zhihua Diao, Pan Gao, Baohua Zhang, Chunjiang Zhao</t>
  </si>
  <si>
    <t xml:space="preserve">https://doi.org/10.1016/j.aiia.2026.03.009</t>
  </si>
  <si>
    <t xml:space="preserve">S0210</t>
  </si>
  <si>
    <t xml:space="preserve">Designing an E-Nose Prototype Based on Gas Sensors Array</t>
  </si>
  <si>
    <t xml:space="preserve">Husam Khalaf Salih Juboori, Ayad A. Al-Ani</t>
  </si>
  <si>
    <t xml:space="preserve">https://doi.org/10.31987/ijict.8.1.277</t>
  </si>
  <si>
    <t xml:space="preserve">S0211</t>
  </si>
  <si>
    <t xml:space="preserve">Multimodal Dissection of UV‐B–Induced Plant Defense Against Insect in Tea Plants</t>
  </si>
  <si>
    <t xml:space="preserve">Yali Bi, Liangxin Duan, Yunfei Shi, Jiaming Liu, Haoyi Wu, Tingting Jing, Zhiyuan Liu, Xuefeng Hu, Jingjing Chen, Haojie Xia, Wei Zhang</t>
  </si>
  <si>
    <t xml:space="preserve">https://doi.org/10.1111/pce.70441</t>
  </si>
  <si>
    <t xml:space="preserve">S0212</t>
  </si>
  <si>
    <t xml:space="preserve">Development of a Fully Configurable IoT Platform for a Low-Cost Air Quality Monitoring Network</t>
  </si>
  <si>
    <t xml:space="preserve">Andy Blanco-Rodríguez, Derick Mazelli Barbosa, Lean Lopes, Rodolfo Valiente Romero, Débora Souza Alvim</t>
  </si>
  <si>
    <t xml:space="preserve">S0213</t>
  </si>
  <si>
    <t xml:space="preserve">Postharvest Management of Fruits: Navigating the Affordability, Efficacy, and Non-Destructive Quality Evaluation of Thermal Versus Non-Thermal Interventions</t>
  </si>
  <si>
    <t xml:space="preserve">Kishenthi Kerisnan, Kivaandra Dayaa Rao Ramarao, Sze‐Looi Song, Chandran Somasundram, Zuliana Razali, Sarmila Muthukrishnan, Saiful Irwan Zubairi, Mohammed Wasim Siddiqui</t>
  </si>
  <si>
    <t xml:space="preserve">https://doi.org/10.3390/foods15183349</t>
  </si>
  <si>
    <t xml:space="preserve">S0214</t>
  </si>
  <si>
    <t xml:space="preserve">Scent Goes Digital: The Role of Insect Odorant Binding Proteins in Modern Technology</t>
  </si>
  <si>
    <t xml:space="preserve">Maddalena Ventura, Miriam Viola, Krishna C. Persaud, Antonio Guerrieri, Carmen Scieuzo, Patrizia Falabella</t>
  </si>
  <si>
    <t xml:space="preserve">https://doi.org/10.1002/biof.70066</t>
  </si>
  <si>
    <t xml:space="preserve">S0215</t>
  </si>
  <si>
    <t xml:space="preserve">Mycotoxin detection in food and feed: bridging conventional analytical methods with emerging sensor-based technologies</t>
  </si>
  <si>
    <t xml:space="preserve">Viola Onyinye Okechukwu, Oluwasola Abayomi Adelusi, Temitope R. Fagbohun, Okechukwu Jonathan Okonkwo, Patrick B. Njobeh</t>
  </si>
  <si>
    <t xml:space="preserve">https://doi.org/10.1007/s12550-026-00657-x</t>
  </si>
  <si>
    <t xml:space="preserve">S0216</t>
  </si>
  <si>
    <t xml:space="preserve">Human detection system for rescue operations</t>
  </si>
  <si>
    <t xml:space="preserve">V. C. Sikhin, S. Harikrishnan</t>
  </si>
  <si>
    <t xml:space="preserve">https://doi.org/10.1063/5.0004218</t>
  </si>
  <si>
    <t xml:space="preserve">S0217</t>
  </si>
  <si>
    <t xml:space="preserve">Novel convolution-based processing techniques for application in chemical sensing</t>
  </si>
  <si>
    <t xml:space="preserve">J. E. (James E.) Taylor</t>
  </si>
  <si>
    <t xml:space="preserve">https://doi.org/10.82444/warw.33608044</t>
  </si>
  <si>
    <t xml:space="preserve">S0218</t>
  </si>
  <si>
    <t xml:space="preserve">Fruit Inspect - Disease Identification in Fruits using Image Processing</t>
  </si>
  <si>
    <t xml:space="preserve">nan</t>
  </si>
  <si>
    <t xml:space="preserve">https://doi.org/10.56726/irjmets45799</t>
  </si>
  <si>
    <t xml:space="preserve">S0219</t>
  </si>
  <si>
    <t xml:space="preserve">Coconut Milk Freshness Classification using Mamdani-Type Fuzzy Logic and VOC Sensor Data</t>
  </si>
  <si>
    <t xml:space="preserve">Rajina R. Mohamed, Razali Yaakob, Tuan Dir Tengku Mohd Azahar, Nor Azura Husin, Nurul Azwaani Salehuddin Haqe</t>
  </si>
  <si>
    <t xml:space="preserve">https://doi.org/10.1109/icoco67189.2025.11334125</t>
  </si>
  <si>
    <t xml:space="preserve">S0220</t>
  </si>
  <si>
    <t xml:space="preserve">Exploring the flavor profiles of blue foods: Mechanistic insights, factor analysis, and assessment strategies</t>
  </si>
  <si>
    <t xml:space="preserve">S.Y. Chen, Yueqi Wang, Chengmei Yin</t>
  </si>
  <si>
    <t xml:space="preserve">https://doi.org/10.1016/bs.afnr.2025.11.001</t>
  </si>
  <si>
    <t xml:space="preserve">S0221</t>
  </si>
  <si>
    <t xml:space="preserve">Narices electrónicas en defensa: envejecimiento de pólvoras e identificación de explosivos en aire</t>
  </si>
  <si>
    <t xml:space="preserve">Raúl López Sánchez</t>
  </si>
  <si>
    <t xml:space="preserve">https://doi.org/10.35376/10324/75318</t>
  </si>
  <si>
    <t xml:space="preserve">S0222</t>
  </si>
  <si>
    <t xml:space="preserve">Pioneering Plant Health: Biosensors for Early and Advanced Pathogen Detection</t>
  </si>
  <si>
    <t xml:space="preserve">Neha Anil, Sherin A Salam, G. Heera, S.Asha., S.Anu Rajan., N.V. Radhakrishnan</t>
  </si>
  <si>
    <t xml:space="preserve">https://doi.org/10.9734/jabb/2025/v28i22056</t>
  </si>
  <si>
    <t xml:space="preserve">S0223</t>
  </si>
  <si>
    <t xml:space="preserve">Multimodal Dissection of UV-B--Induced Plant Defense</t>
  </si>
  <si>
    <t xml:space="preserve">Yali Bi, Yunfei Shi, Liangxin Duan, Jiaming Liu, Haoyi Wu, Tingting Jing, Zhiyuan Liu, Xuefeng Hu, Haojie Xia, Wei Zhang</t>
  </si>
  <si>
    <t xml:space="preserve">https://doi.org/10.22541/au.175743385.54056087/v1</t>
  </si>
  <si>
    <t xml:space="preserve">S0224</t>
  </si>
  <si>
    <t xml:space="preserve">Evaluation of Quality and Storage Characteristics of Freeze-Dried Powdered Mycelium Sausages According to Packaging Methods</t>
  </si>
  <si>
    <t xml:space="preserve">Yu-Na Oh, Hack-Youn Kim</t>
  </si>
  <si>
    <t xml:space="preserve">https://doi.org/10.3390/foods14234080</t>
  </si>
  <si>
    <t xml:space="preserve">S0225</t>
  </si>
  <si>
    <t xml:space="preserve">Fruit Scan - Disease Identification in Fruits Using Image Processing</t>
  </si>
  <si>
    <t xml:space="preserve">Tejas B. Chaudhari</t>
  </si>
  <si>
    <t xml:space="preserve">https://doi.org/10.22214/ijraset.2024.59572</t>
  </si>
  <si>
    <t xml:space="preserve">S0226</t>
  </si>
  <si>
    <t xml:space="preserve">Biotic and abiotic stress management in agriculture: The transformative role of nanotechnology</t>
  </si>
  <si>
    <t xml:space="preserve">Anshuman Shah, Shaily Tyagi, Ravi Kant Singh, Kapil Kumar Tiwari, Gangwar G. Prasad, Sanjay Kalia, Rajeev Kumar, Vandna Rai</t>
  </si>
  <si>
    <t xml:space="preserve">https://doi.org/10.1016/j.plana.2025.100202</t>
  </si>
  <si>
    <t xml:space="preserve">S0227</t>
  </si>
  <si>
    <t xml:space="preserve">A Selective Feature Distilled Multi-Sensor Based E-Nose System for Detecting Illegal Drugs Resistant to Various Environmental Changes</t>
  </si>
  <si>
    <t xml:space="preserve">https://doi.org/10.2139/ssrn.4397150</t>
  </si>
  <si>
    <t xml:space="preserve">S0228</t>
  </si>
  <si>
    <t xml:space="preserve">Smart chemical sensing microsystem : towards a nose-on-a-chip</t>
  </si>
  <si>
    <t xml:space="preserve">Su-Lim Tan</t>
  </si>
  <si>
    <t xml:space="preserve">https://doi.org/10.82444/warw.33643699</t>
  </si>
  <si>
    <t xml:space="preserve">S0229</t>
  </si>
  <si>
    <t xml:space="preserve">Simplified Detection of Serotonin by FET-Based Sensor</t>
  </si>
  <si>
    <t xml:space="preserve">Koel Sinha, Rabindranath Majumder, Chitrangada Das Mukhopadhyay</t>
  </si>
  <si>
    <t xml:space="preserve">https://doi.org/10.1007/978-981-15-7409-2_4</t>
  </si>
  <si>
    <t xml:space="preserve">S0230</t>
  </si>
  <si>
    <t xml:space="preserve">An Artificial Olfactory System for Toxic Compounds Classification Using Machine Learning Techniques</t>
  </si>
  <si>
    <t xml:space="preserve">Cruz, Carlos, M. Aleixandre, Daniel Matatagui, M.C. Horrillo</t>
  </si>
  <si>
    <t xml:space="preserve">https://doi.org/10.3303/cet2295013</t>
  </si>
  <si>
    <t xml:space="preserve">S0231</t>
  </si>
  <si>
    <t xml:space="preserve">Artificial intelligence in stored-product pest monitoring and decision support: Implications for reduced-risk and botanical control</t>
  </si>
  <si>
    <t xml:space="preserve">Olaniyi Charles Ogungbite, Alaba Bukola Ogungbite</t>
  </si>
  <si>
    <t xml:space="preserve">https://doi.org/10.1016/j.jspr.2026.103074</t>
  </si>
  <si>
    <t xml:space="preserve">S0232</t>
  </si>
  <si>
    <t xml:space="preserve">AI-based postharvest management of fruits and vegetables: Enhancing quality, reducing losses, and improving supply chain efficiency</t>
  </si>
  <si>
    <t xml:space="preserve">Akash Kushwah, Satwik Sahay Bisarya, Shiv Bhavan</t>
  </si>
  <si>
    <t xml:space="preserve">https://doi.org/10.33545/2664844x.2026.v8.i7f.1706</t>
  </si>
  <si>
    <t xml:space="preserve">S0233</t>
  </si>
  <si>
    <t xml:space="preserve">Edge Artificial Intelligence for Gas Sensing: Compression, Deployment, and Future</t>
  </si>
  <si>
    <t xml:space="preserve">Yang Li, Tao Wang, Jiaqing Zhu, Zeyu Cao, Lechen Chen, Wangze Ni, Zhi Yang, Shusheng Xu, Bowei Zhang, F.Z. Xuan</t>
  </si>
  <si>
    <t xml:space="preserve">https://doi.org/10.2139/ssrn.6678261</t>
  </si>
  <si>
    <t xml:space="preserve">S0234</t>
  </si>
  <si>
    <t xml:space="preserve">Non-destructive diagnostics and early-warning systems for Penicillium rot in fresh produce: A review of emerging technologies</t>
  </si>
  <si>
    <t xml:space="preserve">Wenpeng Ma, Te Ma, Dongchao Ji, Satoru Tsuchikawa</t>
  </si>
  <si>
    <t xml:space="preserve">https://doi.org/10.1016/j.tifs.2026.105793</t>
  </si>
  <si>
    <t xml:space="preserve">S0235</t>
  </si>
  <si>
    <t xml:space="preserve">Bioelectronic Nose</t>
  </si>
  <si>
    <t xml:space="preserve">Hwi Jin Ko, Eun Hae Oh, Tai Hyun Park</t>
  </si>
  <si>
    <t xml:space="preserve">https://doi.org/10.1002/9783527803293.ch27</t>
  </si>
  <si>
    <t xml:space="preserve">S0236</t>
  </si>
  <si>
    <t xml:space="preserve">(Invited) Engineering Molecular Interfaces on CNT FETs for Chemical and Biological Sensing</t>
  </si>
  <si>
    <t xml:space="preserve">Izthak Icin, Asaf Avnon, Sefi Vernick</t>
  </si>
  <si>
    <t xml:space="preserve">https://doi.org/10.1149/ma2025-0111957mtgabs</t>
  </si>
  <si>
    <t xml:space="preserve">S0237</t>
  </si>
  <si>
    <t xml:space="preserve">E-Nose Sensor Applications and Challenges in the Health Sector</t>
  </si>
  <si>
    <t xml:space="preserve">Sanad Al-Maskari, Saeid Hosseini, Eimad Eldin Abdu Ali Abusham</t>
  </si>
  <si>
    <t xml:space="preserve">https://doi.org/10.1201/9781003326182-15</t>
  </si>
  <si>
    <t xml:space="preserve">S0238</t>
  </si>
  <si>
    <t xml:space="preserve">Distributed Remote-Controlled Sensor Network for Monitoring Complex Gas Environment Based on Intelligent Gas Analyzers</t>
  </si>
  <si>
    <t xml:space="preserve">Eduard Manoilov, Sergii Kravchenko, Iryna Krishchenko, Ivanna V. Kruglenko, Б. А. Снопок</t>
  </si>
  <si>
    <t xml:space="preserve">https://doi.org/10.3390/ecsa-9-13208</t>
  </si>
  <si>
    <t xml:space="preserve">S0239</t>
  </si>
  <si>
    <t xml:space="preserve">Machine Olfaction</t>
  </si>
  <si>
    <t xml:space="preserve">Brian Güthrie</t>
  </si>
  <si>
    <t xml:space="preserve">https://doi.org/10.1007/978-3-319-26932-0_21</t>
  </si>
  <si>
    <t xml:space="preserve">S0240</t>
  </si>
  <si>
    <t xml:space="preserve">Sweat Analysis and Its Role in Identification</t>
  </si>
  <si>
    <t xml:space="preserve">Rakesh Kumar Gorea, Abhinav Gorea, Arshdeep Gorea</t>
  </si>
  <si>
    <t xml:space="preserve">S0241</t>
  </si>
  <si>
    <t xml:space="preserve">(Invited) Revolutionizing Targeted Therapies: Diagnostics and Biomarker Detection for Precision Medicine</t>
  </si>
  <si>
    <t xml:space="preserve">Dirk Kuhlmeier, Jessy Schönfelder, Ana Leonor Heitor Lopes, Andreas Kölsch, Susann Allelein</t>
  </si>
  <si>
    <t xml:space="preserve">https://doi.org/10.1149/ma2025-01602829mtgabs</t>
  </si>
  <si>
    <t xml:space="preserve">S0242</t>
  </si>
  <si>
    <t xml:space="preserve">Research status and development trend of intelligent detection technology for rice pest</t>
  </si>
  <si>
    <t xml:space="preserve">Xuejun Yue, Xiucan TAN, Jiayi XIAO, Junzhi CHEN, Haishan Ouyang, Yubin LAN</t>
  </si>
  <si>
    <t xml:space="preserve">https://doi.org/10.7671/j.issn.1001-411x.202510034</t>
  </si>
  <si>
    <t xml:space="preserve">S0243</t>
  </si>
  <si>
    <t xml:space="preserve">Smart food packaging materials</t>
  </si>
  <si>
    <t xml:space="preserve">Twinkle Kumar Sachchan, Prabhjot Kaur Sabharwal</t>
  </si>
  <si>
    <t xml:space="preserve">https://doi.org/10.1016/b978-0-323-95624-6.00012-6</t>
  </si>
  <si>
    <t xml:space="preserve">S0244</t>
  </si>
  <si>
    <t xml:space="preserve">Approaches in Healthcare Using Big Data and Soft Computing</t>
  </si>
  <si>
    <t xml:space="preserve">Kunal Kumar Kabi, Jyotiprakash Panigrahi, Bhabani Shankar Prasad Mishra, Manas Kumar Rath, Satya Ranjan Dash</t>
  </si>
  <si>
    <t xml:space="preserve">https://doi.org/10.1201/9781351030380-2</t>
  </si>
  <si>
    <t xml:space="preserve">S0245</t>
  </si>
  <si>
    <t xml:space="preserve">Применение цифровых технологий прослеживаемости и интеллектуального контроля в производстве специализированного питания: анализ мирового опыта</t>
  </si>
  <si>
    <t xml:space="preserve">Н.С. Пряничникова, С.А. Бедретдинова, А.Г. Галстян, О.В. Сусло, Л.В. Абдуллаева, Е.Д. Исаева</t>
  </si>
  <si>
    <t xml:space="preserve">https://doi.org/10.52653/ppi.2026.4.4.016</t>
  </si>
  <si>
    <t xml:space="preserve">S0246</t>
  </si>
  <si>
    <t xml:space="preserve">Advancements in Nanotechnology And Sensor Integration For The Mitigation Of Food Adulteration And The Enhancement Of Global Food Safety Systems: A Comprehensive Analysis Of Emerging Analytical Paradigms</t>
  </si>
  <si>
    <t xml:space="preserve">Arpi Antonelli</t>
  </si>
  <si>
    <t xml:space="preserve">S0247</t>
  </si>
  <si>
    <t xml:space="preserve">Ep. 301: AI and the Border: How Millions of Parcels are Scanned</t>
  </si>
  <si>
    <t xml:space="preserve">Daniel Rosehill, Gemini 3.1 (Flash), Chatterbox TTS</t>
  </si>
  <si>
    <t xml:space="preserve">https://doi.org/10.5281/zenodo.19358878</t>
  </si>
  <si>
    <t xml:space="preserve">S0248</t>
  </si>
  <si>
    <t xml:space="preserve">Smart cold chains for food systems: IoT monitoring, predictive analytics, and emerging technologies</t>
  </si>
  <si>
    <t xml:space="preserve">Nani Gopal Mudoi, Mriganka Shekhar Borah, Ajita Tiwari</t>
  </si>
  <si>
    <t xml:space="preserve">https://doi.org/10.20935/acadeng8291</t>
  </si>
  <si>
    <t xml:space="preserve">S0249</t>
  </si>
  <si>
    <t xml:space="preserve">Applications</t>
  </si>
  <si>
    <t xml:space="preserve">Najib Altawell</t>
  </si>
  <si>
    <t xml:space="preserve">https://doi.org/10.1016/b978-0-12-822420-5.00012-x</t>
  </si>
  <si>
    <t xml:space="preserve">S0250</t>
  </si>
  <si>
    <t xml:space="preserve">Person Identification using E-Nose : A quantitative study on identifying individuals based on exhale patterns</t>
  </si>
  <si>
    <t xml:space="preserve">Ashutosh Desai</t>
  </si>
  <si>
    <t xml:space="preserve">IMS e-nose breath identification + 6 ML classifiers</t>
  </si>
  <si>
    <t xml:space="preserve">Person identity from breath (I2)</t>
  </si>
  <si>
    <t xml:space="preserve">Charted from abstract only. 30 participants, 3 sessions on different days. Ion mobility spectrometry, not chemiresistive. | Exhaled-breath identification -&gt; re-identification risk</t>
  </si>
  <si>
    <t xml:space="preserve">S0251</t>
  </si>
  <si>
    <t xml:space="preserve">Development and Application of the Electronic Nearby Odour Sensing Element (e-NOSE)</t>
  </si>
  <si>
    <t xml:space="preserve">Dr. Dipankar Sarkar, Kunal Sarkar</t>
  </si>
  <si>
    <t xml:space="preserve">S0252</t>
  </si>
  <si>
    <t xml:space="preserve">Educational Administration: Theory and Practice</t>
  </si>
  <si>
    <t xml:space="preserve">https://doi.org/10.53555/kuey.v31i1.1</t>
  </si>
  <si>
    <t xml:space="preserve">AI-suggested, confirm. Keynote/front matter; no technical evaluation</t>
  </si>
  <si>
    <t xml:space="preserve">S0253</t>
  </si>
  <si>
    <t xml:space="preserve">Table of contents</t>
  </si>
  <si>
    <t xml:space="preserve">https://doi.org/10.1109/icsgrc.2014.6908685</t>
  </si>
  <si>
    <t xml:space="preserve">S0254</t>
  </si>
  <si>
    <t xml:space="preserve">Development of a Point of Care Technology for Military Medical Applications in Austere Environments</t>
  </si>
  <si>
    <t xml:space="preserve">David J. Loftus, Jing Li, T. Straume, Matt Coleman, Matthias A. Frank, Erik V. Mukerjee, Michael Austin Johnson, Ian J. Stewart</t>
  </si>
  <si>
    <t xml:space="preserve">S0255</t>
  </si>
  <si>
    <t xml:space="preserve">Machine Learning Assisted Discrimination of 20 Volatile Organic Compounds with Response Prediction Via UNIFAC Modeling</t>
  </si>
  <si>
    <t xml:space="preserve">Tuo Gao, Alexandra C. M. de Oliveira, Chengwu Zhang, Yongchen Wang, Jing Zhao, Brian G. Willis</t>
  </si>
  <si>
    <t xml:space="preserve">https://doi.org/10.1149/ma2020-02663339mtgabs</t>
  </si>
  <si>
    <t xml:space="preserve">S0256</t>
  </si>
  <si>
    <t xml:space="preserve">A mouse bio-electronic nose for sensitive and versatile chemical detection</t>
  </si>
  <si>
    <t xml:space="preserve">Erez Shor, Pedro Herrero-Vidal, Adam Dewan, Ilke Uguz, Vincenzo Fabio Curto, George G. Malliaras, Cristina Savin, Thomas C. Bozza, Dmitry A. Rinberg</t>
  </si>
  <si>
    <t xml:space="preserve">https://doi.org/10.1101/2020.05.06.079772</t>
  </si>
  <si>
    <t xml:space="preserve">S0257</t>
  </si>
  <si>
    <t xml:space="preserve">SnSe/SnO2 Heterojunction-Based Single-Sensor Virtual Electronic Nose with Low Reaction Barrier for Trace Identification of Volatile Sulfur Compounds toward Illicit Methamphetamine Trafficking Traceability</t>
  </si>
  <si>
    <t xml:space="preserve">Jiongyue Hao, Hangyu Liu, Chun Huang, Faling Ling, Di Peng, Zuodong Wang, Wei Jiang, Zetao Zhu, Mati Horprathum, Rui Yang, Xiangshui Miao, Xixi Zhao, Yong Jun He</t>
  </si>
  <si>
    <t xml:space="preserve">https://doi.org/10.1021/acsami.6c13231</t>
  </si>
  <si>
    <t xml:space="preserve">S0258</t>
  </si>
  <si>
    <t xml:space="preserve">Applications of Animal Biosensors: A Review</t>
  </si>
  <si>
    <t xml:space="preserve">Yunkwang Oh, Young-Mi Lee, John C. Heath, Moonil Kim</t>
  </si>
  <si>
    <t xml:space="preserve">https://doi.org/10.1109/jsen.2014.2358261</t>
  </si>
  <si>
    <t xml:space="preserve">S0259</t>
  </si>
  <si>
    <t xml:space="preserve">Study and Observation of the Variations of Accuracies for Handwritten Digits Recognition with Various Hidden Layers and Epochs using Neural Network Algorithm</t>
  </si>
  <si>
    <t xml:space="preserve">Md. Abu Bakr Siddique, Mohammad Mahmudur Rahman Khan, Rezoana Bente Arif, Zahidun Ashrafi</t>
  </si>
  <si>
    <t xml:space="preserve">https://doi.org/10.1109/ceeict.2018.8628144</t>
  </si>
  <si>
    <t xml:space="preserve">S0260</t>
  </si>
  <si>
    <t xml:space="preserve">Sensitive and robust chemical detection using an olfactory brain-computer interface</t>
  </si>
  <si>
    <t xml:space="preserve">https://doi.org/10.1016/j.bios.2021.113664</t>
  </si>
  <si>
    <t xml:space="preserve">S0261</t>
  </si>
  <si>
    <t xml:space="preserve">Natural compounds in dietary supplements: Female reproductive health hazard assessment in vitro</t>
  </si>
  <si>
    <t xml:space="preserve">Majorie B.M. van Duursen, Sandra M. Nijmeijer, Kamila A. Solak, Martin van den Berg</t>
  </si>
  <si>
    <t xml:space="preserve">https://doi.org/10.1016/j.toxlet.2016.06.1196</t>
  </si>
  <si>
    <t xml:space="preserve">S0262</t>
  </si>
  <si>
    <t xml:space="preserve">A novel bioelectronic nose based on brain–machine interface using implanted electrode recording in vivo in olfactory bulb</t>
  </si>
  <si>
    <t xml:space="preserve">Qi Dong, Liping Du, Liujing Zhuang, Rong Li, Qingjun Liu, Ping Wang</t>
  </si>
  <si>
    <t xml:space="preserve">https://doi.org/10.1016/j.bios.2013.05.035</t>
  </si>
  <si>
    <t xml:space="preserve">S0263</t>
  </si>
  <si>
    <t xml:space="preserve">In-situ sampling method (HSSE-TDS-GC-MS) during MVOC (microbial volatile organic compounds) measurements of metalworking fluids (MWF)</t>
  </si>
  <si>
    <t xml:space="preserve">Mirko X. Weinhold, A. Siol, T. Koch, Heide Grafe, Andreas Rabenstein, Jorg Thöming</t>
  </si>
  <si>
    <t xml:space="preserve">https://doi.org/10.3139/105.110159</t>
  </si>
  <si>
    <t xml:space="preserve">S0264</t>
  </si>
  <si>
    <t xml:space="preserve">In-situ sampling method (HSSE-TDS-GC-MS) during MVOC (microbial volatile organic compounds) measurements of metalworking luids (MWF) In-situ-Probenahme-Verfahren (HSSE-TDS-GC-MS) für die MVOC-Messung (microbial volatile organic compounds) an Kühlschmierstofen (KSS)</t>
  </si>
  <si>
    <t xml:space="preserve">Heide Grafe, Andreas Rabenstein</t>
  </si>
  <si>
    <t xml:space="preserve">S0265</t>
  </si>
  <si>
    <t xml:space="preserve">Insect Olfactory Receptors as Essential Detectors for Volatile Chemicals in Biomimetic Odorant Sensors</t>
  </si>
  <si>
    <t xml:space="preserve">Yan Liu, Qian Chen, Yahui Man, Wen Jian Wu</t>
  </si>
  <si>
    <t xml:space="preserve">https://doi.org/10.4028/www.scientific.net/amm.461.822</t>
  </si>
  <si>
    <t xml:space="preserve">S0266</t>
  </si>
  <si>
    <t xml:space="preserve">Advances in Non-Destructive Detection Technologies for Seed Quality: A Review</t>
  </si>
  <si>
    <t xml:space="preserve">Zexing Jiang, Jun Sun, Xingyu Ji, Li Zhu, Chunxia Dai, Bing Zhang, Shuai Yuan, Kunshan Yao</t>
  </si>
  <si>
    <t xml:space="preserve">https://doi.org/10.3390/agriculture16161778</t>
  </si>
  <si>
    <t xml:space="preserve">S0267</t>
  </si>
  <si>
    <t xml:space="preserve">Sensors for food and beverage</t>
  </si>
  <si>
    <t xml:space="preserve">Fabio Mencarelli</t>
  </si>
  <si>
    <t xml:space="preserve">https://doi.org/10.1002/jsfa.14046</t>
  </si>
  <si>
    <t xml:space="preserve">S0268</t>
  </si>
  <si>
    <t xml:space="preserve">Chemiresistive Vapour Sensors Based on a Percolation Network of Conductive Polymers</t>
  </si>
  <si>
    <t xml:space="preserve">Merel J. Lefferts, Ben I. Armitage, Krishnan Murugappan, Tabitha Jones, Martin R. Castell</t>
  </si>
  <si>
    <t xml:space="preserve">https://doi.org/10.1149/ma2020-01282097mtgabs</t>
  </si>
  <si>
    <t xml:space="preserve">S0269</t>
  </si>
  <si>
    <t xml:space="preserve">Editorial: Analysis of innovations in food development: improving nutritional value, flavor and texture in food products</t>
  </si>
  <si>
    <t xml:space="preserve">José M. Álvarez-Suárez, Iván Luzardo‐Ocampo</t>
  </si>
  <si>
    <t xml:space="preserve">https://doi.org/10.3389/fnut.2026.1788205</t>
  </si>
  <si>
    <t xml:space="preserve">S0270</t>
  </si>
  <si>
    <t xml:space="preserve">Applications of Fuzzy Sets Theory: 7th International Workshop on Fuzzy Logic and Applications, WILF 2007, Camogli, Italy, July 7-10, 2007, Proceedings</t>
  </si>
  <si>
    <t xml:space="preserve">Francesco Masulli, Sushmita Mitra, Gabriella Pasi</t>
  </si>
  <si>
    <t xml:space="preserve">https://doi.org/10.1007/978-3-540-73400-0</t>
  </si>
  <si>
    <t xml:space="preserve">S0271</t>
  </si>
  <si>
    <t xml:space="preserve">A Federated Epistemic-Operational Architecture One Evidence-Grounded Core for Navigation, Scientific Synthesis, and Perceptual Trust — and Federation Across Them</t>
  </si>
  <si>
    <t xml:space="preserve">Eitan Peter Omiyi</t>
  </si>
  <si>
    <t xml:space="preserve">https://doi.org/10.5281/zenodo.20723139</t>
  </si>
  <si>
    <t xml:space="preserve">S0272</t>
  </si>
  <si>
    <t xml:space="preserve">TPM-based remote attestation for Wireless Sensor Networks</t>
  </si>
  <si>
    <t xml:space="preserve">Donglai Fu, Xinguang Peng</t>
  </si>
  <si>
    <t xml:space="preserve">https://doi.org/10.1109/tst.2016.7488742</t>
  </si>
  <si>
    <t xml:space="preserve">AI-suggested, confirm. Narrower rule: protects device/firmware/platform state only, not sensor or health data (may still be cited as background). TPM attestation, WSN</t>
  </si>
  <si>
    <t xml:space="preserve">S0273</t>
  </si>
  <si>
    <t xml:space="preserve">A remote attestation protocol with Trusted Platform Modules (TPMs) in wireless sensor networks.</t>
  </si>
  <si>
    <t xml:space="preserve">Hailun Tan, Wen Song Hu, Sanjay Kumar Jha</t>
  </si>
  <si>
    <t xml:space="preserve">https://doi.org/10.1002/sec.1162</t>
  </si>
  <si>
    <t xml:space="preserve">S0274</t>
  </si>
  <si>
    <t xml:space="preserve">CoRA: A Scalable Collective Remote Attestation Protocol for Sensor Networks</t>
  </si>
  <si>
    <t xml:space="preserve">Aída Diop, Maryline Laurent, Jean Leneutre, Jacques Traoré</t>
  </si>
  <si>
    <t xml:space="preserve">https://doi.org/10.5220/0008962700840095</t>
  </si>
  <si>
    <t xml:space="preserve">AI-suggested, confirm. Narrower rule: protects device/firmware/platform state only, not sensor or health data (may still be cited as background). Collective attestation, sensor networks</t>
  </si>
  <si>
    <t xml:space="preserve">S0275</t>
  </si>
  <si>
    <t xml:space="preserve">Remote Attestation of Sensor Nodes on Node Personalization: One Case Study</t>
  </si>
  <si>
    <t xml:space="preserve">Jinhui Yuan, Hongwei Zhou, Zhixin Wang</t>
  </si>
  <si>
    <t xml:space="preserve">https://doi.org/10.1088/1755-1315/234/1/012098</t>
  </si>
  <si>
    <t xml:space="preserve">AI-suggested, confirm. Narrower rule: protects device/firmware/platform state only, not sensor or health data (may still be cited as background). Short case study</t>
  </si>
  <si>
    <t xml:space="preserve">S0276</t>
  </si>
  <si>
    <t xml:space="preserve">Remote Attestation Schemes by Using Lightweight Hardware-based Trusted Agents for Sensor Networks</t>
  </si>
  <si>
    <t xml:space="preserve">楊博宏</t>
  </si>
  <si>
    <t xml:space="preserve">S0277</t>
  </si>
  <si>
    <t xml:space="preserve">Lightweight Attestation Scheme for Wireless Sensor Network</t>
  </si>
  <si>
    <t xml:space="preserve">Shinsaku Kiyomoto, Yutaka Miyake</t>
  </si>
  <si>
    <t xml:space="preserve">https://doi.org/10.14257/ijsia.2014.8.2.03</t>
  </si>
  <si>
    <t xml:space="preserve">AI-suggested, confirm. Narrower rule: protects device/firmware/platform state only, not sensor or health data (may still be cited as background). WSN attestation</t>
  </si>
  <si>
    <t xml:space="preserve">S0278</t>
  </si>
  <si>
    <t xml:space="preserve">Performance evaluation of identity-based encryption (IBE) remote attestation protocol in wireless sensor networks / Roszainiza Rosli</t>
  </si>
  <si>
    <t xml:space="preserve">Roszainiza Rosli</t>
  </si>
  <si>
    <t xml:space="preserve">S0279</t>
  </si>
  <si>
    <t xml:space="preserve">Boot Attestation: Secure Remote Reporting with Off-The-Shelf IoT Sensors</t>
  </si>
  <si>
    <t xml:space="preserve">Steffen Schulz, André Schaller, Florian Kohnhäuser, Stefan Katzenbeisser</t>
  </si>
  <si>
    <t xml:space="preserve">https://doi.org/10.1007/978-3-319-66399-9_24</t>
  </si>
  <si>
    <t xml:space="preserve">Boot attestation for low-end IoT</t>
  </si>
  <si>
    <t xml:space="preserve">Software state</t>
  </si>
  <si>
    <t xml:space="preserve">Charted from abstract only. Abstract reports software-state measurement only; readings not bound. | Attestation for off-the-shelf IoT sensors</t>
  </si>
  <si>
    <t xml:space="preserve">S0280</t>
  </si>
  <si>
    <t xml:space="preserve">Lightweight Trusted Authentication Protocol for Wireless Sensor Network (WSN)</t>
  </si>
  <si>
    <t xml:space="preserve">Yusnani Mohd Yussoff, Nazhatul Hafizah Kamarudin, Habibah Hashim</t>
  </si>
  <si>
    <t xml:space="preserve">Trusted (TCG-based) authentication protocol for WSN</t>
  </si>
  <si>
    <t xml:space="preserve">Node authenticity against clone/false messages</t>
  </si>
  <si>
    <t xml:space="preserve">Charted from abstract only. Suggests e-health use. | Trusted auth for WSN, e-health use</t>
  </si>
  <si>
    <t xml:space="preserve">S0281</t>
  </si>
  <si>
    <t xml:space="preserve">SARA: Sandwiched attestation through remote agents for cluster-based wireless sensor networks</t>
  </si>
  <si>
    <t xml:space="preserve">Po-Hung Yang, Sung‐Ming Yen</t>
  </si>
  <si>
    <t xml:space="preserve">https://doi.org/10.1177/1550147717719192</t>
  </si>
  <si>
    <t xml:space="preserve">AI-suggested, confirm. Narrower rule: protects device/firmware/platform state only, not sensor or health data (may still be cited as background). Cluster WSN attestation</t>
  </si>
  <si>
    <t xml:space="preserve">S0282</t>
  </si>
  <si>
    <t xml:space="preserve">Systematic Treatment of Remote Attestation.</t>
  </si>
  <si>
    <t xml:space="preserve">Aurélien Francillon, Quan Nguyen, Kasper Rasmussen, Gene Tsudik</t>
  </si>
  <si>
    <t xml:space="preserve">AI-suggested, confirm. Narrower rule: protects device/firmware/platform state only, not sensor or health data (may still be cited as background). Foundational RA formalization</t>
  </si>
  <si>
    <t xml:space="preserve">S0283</t>
  </si>
  <si>
    <t xml:space="preserve">A remote attestation mechanism for the sensing layer nodes of the Internet of Things</t>
  </si>
  <si>
    <t xml:space="preserve">Bei Gong, Yu Zhang, Yubo Wang</t>
  </si>
  <si>
    <t xml:space="preserve">https://doi.org/10.1016/j.future.2017.07.034</t>
  </si>
  <si>
    <t xml:space="preserve">AI-suggested, confirm. Narrower rule: protects device/firmware/platform state only, not sensor or health data (may still be cited as background). IoT sensing-layer attestation</t>
  </si>
  <si>
    <t xml:space="preserve">S0284</t>
  </si>
  <si>
    <t xml:space="preserve">叢集式無線感測網路之遠程證實協定研究;Remote Attestation for Cluster-based Wireless Sensor Networks</t>
  </si>
  <si>
    <t xml:space="preserve">石家維, Chia-Wei Shih</t>
  </si>
  <si>
    <t xml:space="preserve">S0285</t>
  </si>
  <si>
    <t xml:space="preserve">Leveraging Remote Attestation to enhance the Unified Trust Model for WSNs</t>
  </si>
  <si>
    <t xml:space="preserve">Hamed Khiabani, Norbik Bashah Idris, Jamalul‐lail Ab Manan</t>
  </si>
  <si>
    <t xml:space="preserve">https://doi.org/10.1109/cybersec.2012.6246090</t>
  </si>
  <si>
    <t xml:space="preserve">AI-suggested, confirm. Narrower rule: protects device/firmware/platform state only, not sensor or health data (may still be cited as background). WSN trust + RA</t>
  </si>
  <si>
    <t xml:space="preserve">S0286</t>
  </si>
  <si>
    <t xml:space="preserve">Remote attestation of host-based defense via optical channel</t>
  </si>
  <si>
    <t xml:space="preserve">Nathaniel Boggs, Brenda So, Ang Cui</t>
  </si>
  <si>
    <t xml:space="preserve">https://doi.org/10.1117/12.2557551</t>
  </si>
  <si>
    <t xml:space="preserve">S0287</t>
  </si>
  <si>
    <t xml:space="preserve">Memory Offloading for Remote Attestation of Multi-Service IoT Devices</t>
  </si>
  <si>
    <t xml:space="preserve">Edlira Dushku, Jeppe Hagelskjar Ostergaard, Nicola Dragoni</t>
  </si>
  <si>
    <t xml:space="preserve">https://doi.org/10.3390/s22124340</t>
  </si>
  <si>
    <t xml:space="preserve">TrustZone-M attestation with memory offloading incl. peripheral registers (ERAMO)</t>
  </si>
  <si>
    <t xml:space="preserve">Sensor-peripheral configuration integrity</t>
  </si>
  <si>
    <t xml:space="preserve">Full text read (Sensors 22(12), 4340, 2022; rechecked 2026-10-17). LPC55S69 (TrustZone-M), FreeRTOS. Attests all readable memory incl. memory-mapped peripheral registers; verifier checks I2C peripheral CFG/INTENSET/CLKDIV and BME280 configuration bits in ctrl_hum (0xF2), ctrl_meas (0xF4) and config (0xF5), i.e. acquisition settings (MITC field A). ADC configuration discussed as a risk but not verified; analog water-level sensor not attested; readings (dynamic registers) excluded. ~3.94 s combined attestation at 806,400 baud. | ERAMO: attests peripheral memory on TrustZone MCU</t>
  </si>
  <si>
    <t xml:space="preserve">S0288</t>
  </si>
  <si>
    <t xml:space="preserve">Unified trust establishment by leveraging remote attestation – modeling and analysis</t>
  </si>
  <si>
    <t xml:space="preserve">https://doi.org/10.1108/imcs-11-2012-0062</t>
  </si>
  <si>
    <t xml:space="preserve">AI-suggested, confirm. Narrower rule: protects device/firmware/platform state only, not sensor or health data (may still be cited as background). Modeling only</t>
  </si>
  <si>
    <t xml:space="preserve">S0289</t>
  </si>
  <si>
    <t xml:space="preserve">Secure Registration and Remote Attestation of IoT Devices Joining the Cloud: The Stack4Things Case of Study</t>
  </si>
  <si>
    <t xml:space="preserve">Antonio Celesti, Maria Carolina Fazio, Francesco Longo, Giovanni Merlino, Antonio Puliafito</t>
  </si>
  <si>
    <t xml:space="preserve">https://doi.org/10.1002/9781119226079.ch7</t>
  </si>
  <si>
    <t xml:space="preserve">AI-suggested, confirm. Narrower rule: protects device/firmware/platform state only, not sensor or health data (may still be cited as background). Book chapter</t>
  </si>
  <si>
    <t xml:space="preserve">S0290</t>
  </si>
  <si>
    <t xml:space="preserve">SANA</t>
  </si>
  <si>
    <t xml:space="preserve">Moreno Ambrosin, Mauro Conti, Ahmad Ibrahim, Gregory Neven, Ahmad‐Reza Sadeghi, Matthias Schunter</t>
  </si>
  <si>
    <t xml:space="preserve">https://doi.org/10.1145/2976749.2978335</t>
  </si>
  <si>
    <t xml:space="preserve">AI-suggested, confirm. Narrower rule: protects device/firmware/platform state only, not sensor or health data (may still be cited as background). Aggregate network attestation (CCS 2016)</t>
  </si>
  <si>
    <t xml:space="preserve">S0291</t>
  </si>
  <si>
    <t xml:space="preserve">S μ V - the security microvisor</t>
  </si>
  <si>
    <t xml:space="preserve">Wilfried Daniels, Danny Hughes, Mahmoud Ammar, Bruno Crispo, Nelson Matthys, Wouter Joosen</t>
  </si>
  <si>
    <t xml:space="preserve">https://doi.org/10.1145/3154448.3154454</t>
  </si>
  <si>
    <t xml:space="preserve">AI-suggested, confirm. Narrower rule: protects device/firmware/platform state only, not sensor or health data (may still be cited as background). Software-only RA for low-end IoT</t>
  </si>
  <si>
    <t xml:space="preserve">S0292</t>
  </si>
  <si>
    <t xml:space="preserve">Towards Trusted IoT Sensing Systems: Implementing PUF as Secure Key Generator for Root of Trust and Message Authentication Code</t>
  </si>
  <si>
    <t xml:space="preserve">Kota Yoshida, Kuniyasu Suzaki, Takeshi Fujino</t>
  </si>
  <si>
    <t xml:space="preserve">https://doi.org/10.1145/3505253.3505258</t>
  </si>
  <si>
    <t xml:space="preserve">PUF-attested TEE (RISC-V Keystone) on main device + PUF-based MAC on subordinate sensor</t>
  </si>
  <si>
    <t xml:space="preserve">Acquisition / processing</t>
  </si>
  <si>
    <t xml:space="preserve">Reading authenticity from correct device + attested processing</t>
  </si>
  <si>
    <t xml:space="preserve">Full text read (HASP 2021 workshop, ACM). Main device: PRINCE glitch PUF as root of trust for RISC-V Keystone on FPGA; remote attestation of device key, security-monitor hash and enclave hash. Sensor: CMOS image-sensor PUF simulated on Raspberry Pi over Ethernet; per-image MAC (CMAC/HMAC) verified in enclave, ~18-19 ms per 640x480 image. Elements: D, F, H(R). Confidentiality out of scope; no freshness/replay protection for readings stated; no calibration or model binding. | PUF root of trust + MAC for IoT sensing</t>
  </si>
  <si>
    <t xml:space="preserve">S0293</t>
  </si>
  <si>
    <t xml:space="preserve">Ensuring the Safe and Secure Operation of Electronic Control Units in Road Vehicles</t>
  </si>
  <si>
    <t xml:space="preserve">Florian Kohnhäuser, Dominik Püllen, Stefan Katzenbeisser</t>
  </si>
  <si>
    <t xml:space="preserve">https://doi.org/10.1109/spw.2019.00032</t>
  </si>
  <si>
    <t xml:space="preserve">AI-suggested, confirm. Narrower rule: protects device/firmware/platform state only, not sensor or health data (may still be cited as background). Attestation of sensor ECUs</t>
  </si>
  <si>
    <t xml:space="preserve">S0294</t>
  </si>
  <si>
    <t xml:space="preserve">PAtt: Physics-based Attestation of Control Systems</t>
  </si>
  <si>
    <t xml:space="preserve">Hamid Reza Ghaeini, Matthew Chan, Raad Bahmani, Ferdinand Brasser, Garcia, Luis, Jianying Zhou, Ahmad‐Reza Sadeghi, Nils Ole Tippenhauer, Saman Zonouz</t>
  </si>
  <si>
    <t xml:space="preserve">https://doi.org/10.60882/cispa.24612948</t>
  </si>
  <si>
    <t xml:space="preserve">Physics-based software attestation without trusted hardware: nonce-seeded hash of PLC logic encoded as actuation, verified from resulting sensor traces</t>
  </si>
  <si>
    <t xml:space="preserve">Acquisition / control</t>
  </si>
  <si>
    <t xml:space="preserve">Integrity of PLC logic and authenticity of attestation sensor readings</t>
  </si>
  <si>
    <t xml:space="preserve">Full text read (RAID 2019). Siemens S7-1200 PLC + robot arm testbed. F: hash over PLC logic code blocks. N: fresh verifier nonce in each attestation. D: verifier identifies each PLC and physical system by its process noise signature (PUF-like). Detects manipulated logic and replayed/spoofed sensor readings with 97% accuracy. Sensor readings serve as attestation evidence only; routine readings are not digested or signed (H(R) not coded). No calibration, model or acquisition-config binding. Elements: D, F, N. | Binds attestation to physical sensor traces</t>
  </si>
  <si>
    <t xml:space="preserve">S0295</t>
  </si>
  <si>
    <t xml:space="preserve">Keynote</t>
  </si>
  <si>
    <t xml:space="preserve">Dennis Gessner</t>
  </si>
  <si>
    <t xml:space="preserve">https://doi.org/10.1145/2248356.2248358</t>
  </si>
  <si>
    <t xml:space="preserve">S0296</t>
  </si>
  <si>
    <t xml:space="preserve">Special Session: The Future of IoT Security</t>
  </si>
  <si>
    <t xml:space="preserve">Sibin Mohan, Mikael Asplund, Gedare Bloom, Ahmad‐Reza Sadeghi, Ahmad Ibrahim, Negin Salajageh, Paul Griffioen, Bruno Sinipoli</t>
  </si>
  <si>
    <t xml:space="preserve">https://doi.org/10.1109/emsoft.2018.8537206</t>
  </si>
  <si>
    <t xml:space="preserve">S0297</t>
  </si>
  <si>
    <t xml:space="preserve">On the Root of Trust Identification Problem</t>
  </si>
  <si>
    <t xml:space="preserve">Ivan De Oliveira Nunes, Xuhua Ding, Gene Tsudik</t>
  </si>
  <si>
    <t xml:space="preserve">https://doi.org/10.1145/3412382.3458274</t>
  </si>
  <si>
    <t xml:space="preserve">Root-of-trust identification problem</t>
  </si>
  <si>
    <t xml:space="preserve">Which physical device produced a sensed value</t>
  </si>
  <si>
    <t xml:space="preserve">Charted from abstract only. Problem analysis for TEE-based sensing and actuation. | Which device holds the RoT; sensing</t>
  </si>
  <si>
    <t xml:space="preserve">S0298</t>
  </si>
  <si>
    <t xml:space="preserve">Toward Trusted and Secure Communication Among Multiple Internal Modules in CAV</t>
  </si>
  <si>
    <t xml:space="preserve">Hong Zhong, Wenwen Cao, Qingyang Zhang, Jing Zhang, Jie Cui</t>
  </si>
  <si>
    <t xml:space="preserve">https://doi.org/10.1109/jiot.2021.3082542</t>
  </si>
  <si>
    <t xml:space="preserve">Remote attestation + HMAC for in-vehicle module data (Intel SGX)</t>
  </si>
  <si>
    <t xml:space="preserve">Integrity of sensed data between modules</t>
  </si>
  <si>
    <t xml:space="preserve">Charted from abstract only (abstract supplied by author). Proven secure under CDH in the random oracle model.</t>
  </si>
  <si>
    <t xml:space="preserve">S0299</t>
  </si>
  <si>
    <t xml:space="preserve">Attestation with Constrained Relying Party</t>
  </si>
  <si>
    <t xml:space="preserve">Mariam Moustafa, Arto Niemi, Philip Ginzboorg, Jan-Erik Ekberg</t>
  </si>
  <si>
    <t xml:space="preserve">https://doi.org/10.48550/arxiv.2312.08903</t>
  </si>
  <si>
    <t xml:space="preserve">Symmetric-key attestation for constrained relying party</t>
  </si>
  <si>
    <t xml:space="preserve">Controller state before releasing readings</t>
  </si>
  <si>
    <t xml:space="preserve">Full text read. Verifies platform state only; readings not bound. 6 KB code; ProVerif. | Attestation for constrained sensors/actuators</t>
  </si>
  <si>
    <t xml:space="preserve">S0300</t>
  </si>
  <si>
    <t xml:space="preserve">BDMFA: Forensic-enabling attestation technique for Internet of Medical Things</t>
  </si>
  <si>
    <t xml:space="preserve">Mohamed A. El-Zawawy, Harsha Vasudev, Mauro Conti</t>
  </si>
  <si>
    <t xml:space="preserve">https://doi.org/10.1016/j.iot.2024.101464</t>
  </si>
  <si>
    <t xml:space="preserve">Blockchain + deep-learning medical attestation (SMART-based)</t>
  </si>
  <si>
    <t xml:space="preserve">Acquisition / analytics</t>
  </si>
  <si>
    <t xml:space="preserve">Medical sensor reading consistency; attestation history</t>
  </si>
  <si>
    <t xml:space="preserve">Charted from abstract only. Uses inconsistent medical sensor readings as compromise signal; 50 patient-sensors, 2.6 s attestation (simulation). | IoMT attestation using medical sensor readings; SMART-based</t>
  </si>
  <si>
    <t xml:space="preserve">S0301</t>
  </si>
  <si>
    <t xml:space="preserve">Sichere eingebettete Systeme mit Remote Attestierung</t>
  </si>
  <si>
    <t xml:space="preserve">Maximilian Arthofer</t>
  </si>
  <si>
    <t xml:space="preserve">S0302</t>
  </si>
  <si>
    <t xml:space="preserve">ARCADIS: Asynchronous Remote Control-Flow Attestation of Distributed IoT Services</t>
  </si>
  <si>
    <t xml:space="preserve">Ragnar Mikael Halldorsson, Edlira Dushku, Nicola Dragoni</t>
  </si>
  <si>
    <t xml:space="preserve">https://doi.org/10.1109/access.2021.3122391</t>
  </si>
  <si>
    <t xml:space="preserve">AI-suggested, confirm. Narrower rule: protects device/firmware/platform state only, not sensor or health data (may still be cited as background). Control-flow attestation of distributed IoT</t>
  </si>
  <si>
    <t xml:space="preserve">S0303</t>
  </si>
  <si>
    <t xml:space="preserve">Verifiable Integrity and Availability for Code and Execution in Simple Embedded Systems</t>
  </si>
  <si>
    <t xml:space="preserve">Ivan De Oliveira Nunes</t>
  </si>
  <si>
    <t xml:space="preserve">S0304</t>
  </si>
  <si>
    <t xml:space="preserve">Seeing is Not Believing: Breaking the Physical-to-Digital Trust Boundary in Robotics</t>
  </si>
  <si>
    <t xml:space="preserve">Leming Shen, Shikai Geng, Yuanqing Zheng, Chris Xiaoxuan Lu</t>
  </si>
  <si>
    <t xml:space="preserve">https://doi.org/10.48550/arxiv.2609.08280</t>
  </si>
  <si>
    <t xml:space="preserve">Telemetry-spoofing attack on ROS 2 defeating attestation</t>
  </si>
  <si>
    <t xml:space="preserve">Full text read. arXiv preprint (2026), not peer-reviewed; 87% attack success. Cite as background for the analog/physical trust boundary. | Telemetry spoofing defeats attestation; analog/physical boundary</t>
  </si>
  <si>
    <t xml:space="preserve">S0305</t>
  </si>
  <si>
    <t xml:space="preserve">Dynamic Swarm Attestation With Malicious Devices Identification</t>
  </si>
  <si>
    <t xml:space="preserve">Wenjuan Meng, Tao Jiang, Jianhua Ge</t>
  </si>
  <si>
    <t xml:space="preserve">https://doi.org/10.1109/access.2018.2869307</t>
  </si>
  <si>
    <t xml:space="preserve">AI-suggested, confirm. Narrower rule: protects device/firmware/platform state only, not sensor or health data (may still be cited as background). Swarm attestation</t>
  </si>
  <si>
    <t xml:space="preserve">S0306</t>
  </si>
  <si>
    <t xml:space="preserve">Toward Profiling IoT Processes for Remote Service Attestation</t>
  </si>
  <si>
    <t xml:space="preserve">William A. Johnson, John Housley, Sheikh Ghafoor, Stacy Prowell</t>
  </si>
  <si>
    <t xml:space="preserve">https://doi.org/10.1109/ispdc62236.2024.10705398</t>
  </si>
  <si>
    <t xml:space="preserve">AI-suggested, confirm. Narrower rule: protects device/firmware/platform state only, not sensor or health data (may still be cited as background).</t>
  </si>
  <si>
    <t xml:space="preserve">S0307</t>
  </si>
  <si>
    <t xml:space="preserve">AI-RMF-Governed, Zero-Trust Architecture for AI-Enabled IoTaaS: An Industrial Perspective</t>
  </si>
  <si>
    <t xml:space="preserve">Yair Rivera Julio, César Viloria-Núñez, Erwin J. Sacoto-Cabrera, Eduardo Ahumada‐Tello, Mobashar Mubarik, Angel Dario Pinto</t>
  </si>
  <si>
    <t xml:space="preserve">https://doi.org/10.1109/gcaiot68269.2025.11275565</t>
  </si>
  <si>
    <t xml:space="preserve">S0308</t>
  </si>
  <si>
    <t xml:space="preserve">Розробка моделі розподілу задач віддаленого моніторингу здоров’я в розумному місті з урахуванням затримки, енергоспоживання та конфіденційності на fog-вузлах</t>
  </si>
  <si>
    <t xml:space="preserve">I.O. Shevtsov, Tetiana Fesenko</t>
  </si>
  <si>
    <t xml:space="preserve">S0309</t>
  </si>
  <si>
    <t xml:space="preserve">Firmware Attestation in IoT Swarms Using Relational Graph Neural Networks and Static Random Access Memory</t>
  </si>
  <si>
    <t xml:space="preserve">Abdelkabir Rouagubi, Chaymae El Youssofi, Khalid Chougdali</t>
  </si>
  <si>
    <t xml:space="preserve">https://doi.org/10.3390/ai6070161</t>
  </si>
  <si>
    <t xml:space="preserve">AI-suggested, confirm. Narrower rule: protects device/firmware/platform state only, not sensor or health data (may still be cited as background). Swarm firmware attestation</t>
  </si>
  <si>
    <t xml:space="preserve">S0310</t>
  </si>
  <si>
    <t xml:space="preserve">The Future of IoT Security: Special Session</t>
  </si>
  <si>
    <t xml:space="preserve">Sibin Mohan, Mikael Asplund, Gedare Bloom, Ahmad‐Reza Sadeghi, Ahmad Ibrahim, Negin Salajageh, Paul Griffioen, Bruno Sinopoli</t>
  </si>
  <si>
    <t xml:space="preserve">S0311</t>
  </si>
  <si>
    <t xml:space="preserve">Policy-Based Implicit Attestation for Microkernel-Based Virtualized Systems</t>
  </si>
  <si>
    <t xml:space="preserve">Steffen Wagner, Claudia Margot Eckert</t>
  </si>
  <si>
    <t xml:space="preserve">https://doi.org/10.1007/978-3-319-45871-7_19</t>
  </si>
  <si>
    <t xml:space="preserve">AI-suggested, confirm. Narrower rule: protects device/firmware/platform state only, not sensor or health data (may still be cited as background). Microkernel systems</t>
  </si>
  <si>
    <t xml:space="preserve">S0312</t>
  </si>
  <si>
    <t xml:space="preserve">Proofs or Remote Execution and Mitigation of TOCTOU Attacks</t>
  </si>
  <si>
    <t xml:space="preserve">Gene Tsudik</t>
  </si>
  <si>
    <t xml:space="preserve">https://doi.org/10.1145/3320269.3409495</t>
  </si>
  <si>
    <t xml:space="preserve">S0313</t>
  </si>
  <si>
    <t xml:space="preserve">Developing a task allocation model for remote health monitoring in smart cities, considering latency, energy consumption, and privacy on fog nodes</t>
  </si>
  <si>
    <t xml:space="preserve">https://doi.org/10.15587/2706-5448.2026.358187</t>
  </si>
  <si>
    <t xml:space="preserve">TEE + RATS attestation for fog offloading of patient monitoring</t>
  </si>
  <si>
    <t xml:space="preserve">Patient data confidentiality on fog nodes</t>
  </si>
  <si>
    <t xml:space="preserve">Charted from abstract only. Simulation (YAFS); ECG/audio tasks. | TEE + RATS attestation on fog nodes for remote patient monitoring (simulation)</t>
  </si>
  <si>
    <t xml:space="preserve">S0314</t>
  </si>
  <si>
    <t xml:space="preserve">Distributed Detection of Sensor Worms Using Sequential Analysis and Remote Software Attestations</t>
  </si>
  <si>
    <t xml:space="preserve">Jun‐Won Ho, Matthew Wright</t>
  </si>
  <si>
    <t xml:space="preserve">https://doi.org/10.1109/access.2017.2648853</t>
  </si>
  <si>
    <t xml:space="preserve">AI-suggested, confirm. Narrower rule: protects device/firmware/platform state only, not sensor or health data (may still be cited as background). RA in sensor networks</t>
  </si>
  <si>
    <t xml:space="preserve">S0315</t>
  </si>
  <si>
    <t xml:space="preserve">Cryptographic mechanisms for device authentication and attestation in the internet of things</t>
  </si>
  <si>
    <t xml:space="preserve">Aída Diop</t>
  </si>
  <si>
    <t xml:space="preserve">S0316</t>
  </si>
  <si>
    <t xml:space="preserve">Relational Bootstrapping: Minimal Sufficient External Information for Initial System Establishment</t>
  </si>
  <si>
    <t xml:space="preserve">Alexey POLOVINKIN</t>
  </si>
  <si>
    <t xml:space="preserve">https://doi.org/10.5281/zenodo.22982841</t>
  </si>
  <si>
    <t xml:space="preserve">S0317</t>
  </si>
  <si>
    <t xml:space="preserve">TEE Protected Drone Inspection for Critical Infrastructure: Securing Edge Analytics and Trust at Scale</t>
  </si>
  <si>
    <t xml:space="preserve">Yongzhi Wang</t>
  </si>
  <si>
    <t xml:space="preserve">https://doi.org/10.54941/ahfe1007075</t>
  </si>
  <si>
    <t xml:space="preserve">Attested enclave (platform unnamed) with attestation-gated mission key, in-enclave autoencoder anomaly detection, enclave-signed results</t>
  </si>
  <si>
    <t xml:space="preserve">Processing / transmission</t>
  </si>
  <si>
    <t xml:space="preserve">Confidentiality and integrity of sensor-derived results</t>
  </si>
  <si>
    <t xml:space="preserve">Full text read (AHFE/IHSI 2026, open access; read via web reader). UAV infrastructure inspection. Pre-flight remote attestation of enclave measurement (F); mission key provisioned after attestation; results encrypted and signed with enclave key bound to attested instance (result signing, not per-reading digest). Autoencoder in enclave flags anomalous frames (no architecture, threshold or accuracy given). No freshness/nonce, model version, calibration or device identity. Design with qualitative security analysis only; no implementation or quantitative evaluation. Elements: F. | TEE edge analytics of sensor data</t>
  </si>
  <si>
    <t xml:space="preserve">S0318</t>
  </si>
  <si>
    <t xml:space="preserve">Remote Testimony: How to Trust an Autonomous Vehicle</t>
  </si>
  <si>
    <t xml:space="preserve">Francesco Alesiani, Sebastian Gajek</t>
  </si>
  <si>
    <t xml:space="preserve">https://doi.org/10.1109/vtcspring.2016.7504447</t>
  </si>
  <si>
    <t xml:space="preserve">Remote testimony from signing, tamper-resistant sensors (no trusted computing)</t>
  </si>
  <si>
    <t xml:space="preserve">Reliability of vehicle sensor data to peers</t>
  </si>
  <si>
    <t xml:space="preserve">Charted from abstract only (abstract supplied by author).</t>
  </si>
  <si>
    <t xml:space="preserve">S0319</t>
  </si>
  <si>
    <t xml:space="preserve">Zero-trust node security for KubeEdge: A policy-as-service architecture and reliability evaluation</t>
  </si>
  <si>
    <t xml:space="preserve">HengJun Lu</t>
  </si>
  <si>
    <t xml:space="preserve">https://doi.org/10.1016/j.future.2026.108806</t>
  </si>
  <si>
    <t xml:space="preserve">S0320</t>
  </si>
  <si>
    <t xml:space="preserve">A Verified Architecture for Proofs of Execution on Remote Devices under Full Software Compromise</t>
  </si>
  <si>
    <t xml:space="preserve">Ivan De Oliveira Nunes, Karim Eldefrawy, Norrathep Rattanavipanon, Gene Tsudik</t>
  </si>
  <si>
    <t xml:space="preserve">https://doi.org/10.48550/arxiv.1908.02444</t>
  </si>
  <si>
    <t xml:space="preserve">Formally verified proofs of execution binding outputs to code (VAPE/APEX)</t>
  </si>
  <si>
    <t xml:space="preserve">Authenticity of sensor data produced by expected code</t>
  </si>
  <si>
    <t xml:space="preserve">Full text read. arXiv version; MSP430/AVR; low overhead. Check published version (APEX, USENIX Security 2020) for citation. | VAPE: authenticated sensing on low-end MCUs</t>
  </si>
  <si>
    <t xml:space="preserve">S0321</t>
  </si>
  <si>
    <t xml:space="preserve">Ep. 304: The Hardware Vault: How TPM Chips Secure Our Digital World</t>
  </si>
  <si>
    <t xml:space="preserve">https://doi.org/10.5281/zenodo.19358896</t>
  </si>
  <si>
    <t xml:space="preserve">S0322</t>
  </si>
  <si>
    <t xml:space="preserve">NEXT-GENERATION SECURITY TECHNOLOGIES FOR CPS 2.0</t>
  </si>
  <si>
    <t xml:space="preserve"> Shafali Pal, Urmila, Manoj Kumar,, Anshul Varshney</t>
  </si>
  <si>
    <t xml:space="preserve">https://doi.org/10.58532/nbennursictc9</t>
  </si>
  <si>
    <t xml:space="preserve">S0323</t>
  </si>
  <si>
    <t xml:space="preserve">Sensor Attestation and Trust Anchoring (SATA): A Hardware-Anchored τ-Chain Protocol for Autonomous Mission Authority — Technical Assurance Report v3.8.9</t>
  </si>
  <si>
    <t xml:space="preserve">Burak Oktenli</t>
  </si>
  <si>
    <t xml:space="preserve">https://doi.org/10.5281/zenodo.18936250</t>
  </si>
  <si>
    <t xml:space="preserve">S0324</t>
  </si>
  <si>
    <t xml:space="preserve">Threat Modeling for Enhancing Security of IoT Audio Classification Devices Under a Secure Protocols Framework</t>
  </si>
  <si>
    <t xml:space="preserve">Sergio Benlloch-Lopez, Miquel Viel-Vazquez, Javier Naranjo-Alcazar, Jordi Grau-Haro, Pedro Zuccarello</t>
  </si>
  <si>
    <t xml:space="preserve">https://doi.org/10.1007/978-3-032-24807-7_45</t>
  </si>
  <si>
    <t xml:space="preserve">TPM 2.0 measured boot and remote attestation gating a one-time LUKS unlock key; mTLS 1.3 with post-quantum hybrid; signed, versioned ML model updates; tamper sensors (no TEE)</t>
  </si>
  <si>
    <t xml:space="preserve">Acquisition / inference / transmission</t>
  </si>
  <si>
    <t xml:space="preserve">Audio features, on-device models, data at rest</t>
  </si>
  <si>
    <t xml:space="preserve">Full text read (arXiv:2509.14657v3, Nov 2025; published Springer 2026). Raspberry Pi 4 + TPM 2.0 prototype design. F: boot stages measured into TPM PCRs, quote verified by server. M: model updates signed and version-controlled; rollback here means redeploying an earlier trusted version, not anti-rollback protection. Feature hashes and E2E encryption protect data in transit (not coded as per-reading digest). No freshness, calibration or acquisition-config binding. Evaluation planned only, no results. Elements: F, M. | Sensor ML device threat model</t>
  </si>
  <si>
    <t xml:space="preserve">S0325</t>
  </si>
  <si>
    <t xml:space="preserve">Étude exhaustive du Filtre à Résonance de Phase Topologique (FRPT)</t>
  </si>
  <si>
    <t xml:space="preserve">Xavier Pillet</t>
  </si>
  <si>
    <t xml:space="preserve">https://doi.org/10.5281/zenodo.18120073</t>
  </si>
  <si>
    <t xml:space="preserve">S0326</t>
  </si>
  <si>
    <t xml:space="preserve">Attestation in Wireless Sensor Networks</t>
  </si>
  <si>
    <t xml:space="preserve">Rodrigo Vieira Steiner, Emil Lupu</t>
  </si>
  <si>
    <t xml:space="preserve">https://doi.org/10.1145/2988546</t>
  </si>
  <si>
    <t xml:space="preserve">AI-suggested, confirm. Narrower rule: protects device/firmware/platform state only, not sensor or health data (may still be cited as background). Survey of WSN attestation (ACM CSUR)</t>
  </si>
  <si>
    <t xml:space="preserve">S0327</t>
  </si>
  <si>
    <t xml:space="preserve">Secure Sensor Prototype Using Hardware Security Modules and Trusted Execution Environments in a Blockchain Application: Wine Logistic Use Case</t>
  </si>
  <si>
    <t xml:space="preserve">Antonio J. Cabrera-Gutiérrez, Encarnación Castillo, Antonio Escobar-Molero, Juan Cruz-Cozar, Diego Pedro Morales, Luis Parrilla</t>
  </si>
  <si>
    <t xml:space="preserve">https://doi.org/10.3390/electronics12132987</t>
  </si>
  <si>
    <t xml:space="preserve">TF-M TEE + HSM signing sensor readings with timestamp</t>
  </si>
  <si>
    <t xml:space="preserve">Reading authenticity and freshness</t>
  </si>
  <si>
    <t xml:space="preserve">Full text read. PSoC64, DPS310 pressure sensor; 1.09x vs hardware-HSM baseline. No calibration handling. | HSM + TEE secure sensor</t>
  </si>
  <si>
    <t xml:space="preserve">S0328</t>
  </si>
  <si>
    <t xml:space="preserve">Privacy-Preserving Sharing of Mobile Sensor Data</t>
  </si>
  <si>
    <t xml:space="preserve">Yin Liu, Breno Dantas Cruz, Eli Tilevich</t>
  </si>
  <si>
    <t xml:space="preserve">https://doi.org/10.1007/978-3-030-99203-3_2</t>
  </si>
  <si>
    <t xml:space="preserve">TEE + differential privacy for on-device sensor-data sharing</t>
  </si>
  <si>
    <t xml:space="preserve">Charted from abstract only (abstract supplied by author). Earlier conference version of S0329 (same framework).</t>
  </si>
  <si>
    <t xml:space="preserve">S0329</t>
  </si>
  <si>
    <t xml:space="preserve">Trusted and privacy-preserving sensor data onloading</t>
  </si>
  <si>
    <t xml:space="preserve">https://doi.org/10.1016/j.comcom.2023.04.027</t>
  </si>
  <si>
    <t xml:space="preserve">TEE middleware (Open-TEE on Android) + adaptive differential privacy + Trust-Data theory for spurious-data removal in sensor-data onloading</t>
  </si>
  <si>
    <t xml:space="preserve">Sensor-data privacy; detection of spurious data</t>
  </si>
  <si>
    <t xml:space="preserve">Full text read (author manuscript, Computer Communications 2023). Extended version of S0328. Apps deposit sensor data (e.g., geolocation, blood pressure) in a TEE-protected middleware that answers noisy statistical queries. No signing, attestation, freshness, calibration or model binding. No elements coded.</t>
  </si>
  <si>
    <t xml:space="preserve">S0330</t>
  </si>
  <si>
    <t xml:space="preserve">Viola: Trustworthy Sensor Notifications for Enhanced Privacy on Mobile Systems</t>
  </si>
  <si>
    <t xml:space="preserve">Saeed Mirzamohammadi, Ardalan Amiri Sani</t>
  </si>
  <si>
    <t xml:space="preserve">https://doi.org/10.1109/tmc.2018.2812706</t>
  </si>
  <si>
    <t xml:space="preserve">Verified sensor/indicator invariants enforced in kernel/hypervisor (Viola)</t>
  </si>
  <si>
    <t xml:space="preserve">Sensor-access privacy</t>
  </si>
  <si>
    <t xml:space="preserve">Full text read. Read via author dissertation chapter. Camera/mic; Nexus 5, ODROID.</t>
  </si>
  <si>
    <t xml:space="preserve">S0331</t>
  </si>
  <si>
    <t xml:space="preserve">Privacy-Preserving Location-Based Data Queries in Fog-Enhanced Sensor Networks</t>
  </si>
  <si>
    <t xml:space="preserve">Hongcheng Xie, Yu Guo, Xiaohua Jia</t>
  </si>
  <si>
    <t xml:space="preserve">https://doi.org/10.1109/jiot.2021.3135303</t>
  </si>
  <si>
    <t xml:space="preserve">Somewhat homomorphic encryption + Intel SGX for location-based sensor queries</t>
  </si>
  <si>
    <t xml:space="preserve">Confidentiality of queries, sensor locations, sensor data</t>
  </si>
  <si>
    <t xml:space="preserve">S0332</t>
  </si>
  <si>
    <t xml:space="preserve">A Secure Authentication Scheme for Wireless Sensor Networks Based on DAC and Intel SGX</t>
  </si>
  <si>
    <t xml:space="preserve">Xin Liu, Zhenbin Guo, Jun Ma, Yuchen Song</t>
  </si>
  <si>
    <t xml:space="preserve">https://doi.org/10.1109/jiot.2021.3097996</t>
  </si>
  <si>
    <t xml:space="preserve">Dynamic authentication credentials + SGX-protected master key in WSN gateway</t>
  </si>
  <si>
    <t xml:space="preserve">Access to WSN data; authentication-table protection</t>
  </si>
  <si>
    <t xml:space="preserve">Charted from abstract only (abstract supplied by author). BAN logic, AVISPA, NS3 simulation. | SGX for WSN auth</t>
  </si>
  <si>
    <t xml:space="preserve">S0333</t>
  </si>
  <si>
    <t xml:space="preserve">Optimising the DTLS handshake design for TEE enabled sensor nodes</t>
  </si>
  <si>
    <t xml:space="preserve">Anil Yadav, Nitin Rakesh, Sujata Pandey, Rajat Kumar Singh</t>
  </si>
  <si>
    <t xml:space="preserve">https://doi.org/10.1504/ijsn.2019.101416</t>
  </si>
  <si>
    <t xml:space="preserve">TEE-based DTLS handshake for sensor nodes</t>
  </si>
  <si>
    <t xml:space="preserve">Session keys for sensor data</t>
  </si>
  <si>
    <t xml:space="preserve">Charted from abstract only (abstract supplied by author). Lower memory footprint, small handshake-time penalty. | TEE sensor nodes</t>
  </si>
  <si>
    <t xml:space="preserve">S0334</t>
  </si>
  <si>
    <t xml:space="preserve">Rajat Kumar Singh, Sujata Pandey, Nitin Rakesh, Anil Yadav</t>
  </si>
  <si>
    <t xml:space="preserve">https://doi.org/10.1504/ijsn.2019.10022895</t>
  </si>
  <si>
    <t xml:space="preserve">S0335</t>
  </si>
  <si>
    <t xml:space="preserve">Cloud-Based Fingerprint Storage and Authentication Through Smartphone’s Fingerprint Sensor</t>
  </si>
  <si>
    <t xml:space="preserve">Samiullah, Adil Khan</t>
  </si>
  <si>
    <t xml:space="preserve">https://doi.org/10.36227/techrxiv.24182094</t>
  </si>
  <si>
    <t xml:space="preserve">S0336</t>
  </si>
  <si>
    <t xml:space="preserve">Cloud-Based Fingerprint Storage and Authentication Through Smartphone's Fingerprint Sensor</t>
  </si>
  <si>
    <t xml:space="preserve">https://doi.org/10.36227/techrxiv.24182094.v1</t>
  </si>
  <si>
    <t xml:space="preserve">S0337</t>
  </si>
  <si>
    <t xml:space="preserve">Trustworthy Pre-processing of Sensor Data in Data On-Chaining Workflows for Blockchain-Based IoT Applications</t>
  </si>
  <si>
    <t xml:space="preserve">Jonathan Heiss, Anselm Busse, Stefan Tai</t>
  </si>
  <si>
    <t xml:space="preserve">https://doi.org/10.1007/978-3-030-91431-8_9</t>
  </si>
  <si>
    <t xml:space="preserve">Trustworthy pre-processing of signed sensor data off-chain with Intel SGX (remote attestation) or zkSNARKs (ZoKrates) before blockchain</t>
  </si>
  <si>
    <t xml:space="preserve">Processing</t>
  </si>
  <si>
    <t xml:space="preserve">End-to-end integrity of pre-processed sensor data</t>
  </si>
  <si>
    <t xml:space="preserve">Full text read (arXiv:2110.15869, author version of ICSOC 2021, LNCS 13121). Sensor nodes sign measurements with a sensor key pair; gateway verifies signatures inside the enclave or proof and proves correct transformation (filtering, aggregation). SGX enclave verified by remote attestation. Proof-of-concept on smart-meter data; enclave pre-processing orders of magnitude faster than zkSNARKs; on-chain verification cost in gas. Pre-processing is generic data reduction; calibration not mentioned. Elements: D, F, H(R). | TEE pre-processing of sensor data (relevant to calibration stage)</t>
  </si>
  <si>
    <t xml:space="preserve">S0338</t>
  </si>
  <si>
    <t xml:space="preserve">Sensor Data Transplantation for Redundant Hardware Switchover in Micro Autonomous Vehicles</t>
  </si>
  <si>
    <t xml:space="preserve">Cailani Lemieux-Mack, Kevin Leach, Kevin Angstadt</t>
  </si>
  <si>
    <t xml:space="preserve">https://doi.org/10.1109/iccps61052.2024.00019</t>
  </si>
  <si>
    <t xml:space="preserve">S0339</t>
  </si>
  <si>
    <t xml:space="preserve">Penerapan Hubungan Hardware-Software pada Sistem Operasi Android dalam Pengelolaan Sensor Fingerprint</t>
  </si>
  <si>
    <t xml:space="preserve">Annisa Laili Tanzila, Aldi Muhammad Reski</t>
  </si>
  <si>
    <t xml:space="preserve">https://doi.org/10.62383/polygon.v3i6.817</t>
  </si>
  <si>
    <t xml:space="preserve">S0340</t>
  </si>
  <si>
    <t xml:space="preserve">Design of Psk Based Trusted Dtls for Smart Sensor Nodes</t>
  </si>
  <si>
    <t xml:space="preserve">Anil Yadav, Sujata Pandey, Rajat Kumar Singh, Nitin Rakesh</t>
  </si>
  <si>
    <t xml:space="preserve">https://doi.org/10.2174/2666255813999200708135353</t>
  </si>
  <si>
    <t xml:space="preserve">TEE-based PSK DTLS handshake for smart sensor nodes</t>
  </si>
  <si>
    <t xml:space="preserve">Charted from abstract only (abstract supplied by author). Handshake penalty cut from ~3.5 to ~1.5 ms. Extends S0333 (different handshake mode). | TEE sensor nodes</t>
  </si>
  <si>
    <t xml:space="preserve">S0341</t>
  </si>
  <si>
    <t xml:space="preserve">Budget-Aware Edge-First Collaboration for Robust Inference in Sensor–Cloud Networks</t>
  </si>
  <si>
    <t xml:space="preserve">Malka N. Halgamuge, Ibrahim Khalil, Iqbal Gondal, Alireza Jolfaei, Narayan Srinivasa</t>
  </si>
  <si>
    <t xml:space="preserve">https://doi.org/10.1109/mnet.2026.3671221</t>
  </si>
  <si>
    <t xml:space="preserve">S0342</t>
  </si>
  <si>
    <t xml:space="preserve">Towards an Open Framework Leveraging a Trusted Execution Environment</t>
  </si>
  <si>
    <t xml:space="preserve">Javier González, Philippe Bonnet</t>
  </si>
  <si>
    <t xml:space="preserve">https://doi.org/10.1007/978-3-319-03584-0_35</t>
  </si>
  <si>
    <t xml:space="preserve">S0343</t>
  </si>
  <si>
    <t xml:space="preserve">Trustworthy Pre-Processing of Sensor Data in Data On-chaining Workflows for Blockchain-based IoT Applications</t>
  </si>
  <si>
    <t xml:space="preserve">https://doi.org/10.48550/arxiv.2110.15869</t>
  </si>
  <si>
    <t xml:space="preserve">S0344</t>
  </si>
  <si>
    <t xml:space="preserve">Implementation of an Image Tampering Detection System with a CMOS Image Sensor PUF and OP-TEE</t>
  </si>
  <si>
    <t xml:space="preserve">Tatsuya Oyama, Manami Hagizaki, Shunsuke Okura, Takeshi Fujino</t>
  </si>
  <si>
    <t xml:space="preserve">https://doi.org/10.3390/s24227121</t>
  </si>
  <si>
    <t xml:space="preserve">CMOS image-sensor PUF key + HMAC per frame, verified in OP-TEE</t>
  </si>
  <si>
    <t xml:space="preserve">Acquisition / inference</t>
  </si>
  <si>
    <t xml:space="preserve">Reading authenticity before ML inference</t>
  </si>
  <si>
    <t xml:space="preserve">Full text read. ZCU104; worst-case 4-bit error in 132,000 regenerations; MAC overhead ~0.017%/frame. Closest precedent to MITC sensor-reading binding; tested in one environment only. | Sensor PUF + OP-TEE: closest analog to MITC sensor binding</t>
  </si>
  <si>
    <t xml:space="preserve">S0345</t>
  </si>
  <si>
    <t xml:space="preserve">Enabling Confidential I/O on RISC-V Without Hardware Modifications</t>
  </si>
  <si>
    <t xml:space="preserve">Gregor Haas, Micheal Chung, David Kohlbrenner</t>
  </si>
  <si>
    <t xml:space="preserve">https://doi.org/10.1145/3733801.3764196</t>
  </si>
  <si>
    <t xml:space="preserve">Confidential I/O on RISC-V via PMP: driver enclaves on a modified Keystone compartmentalize peripheral drivers (sensors, accelerators)</t>
  </si>
  <si>
    <t xml:space="preserve">Confidentiality and integrity of peripheral data against untrusted drivers and OS</t>
  </si>
  <si>
    <t xml:space="preserve">Full text read (ACM CPSIoTSec 2025 workshop). Polarfire Icicle FPGA testbench with an ML accelerator (VTA) and an end-to-end inference application; stock RISC-V, software only. Peripheral isolation; enclaves can produce attestation reports but no per-reading evidence, freshness, calibration or model binding. No calibration mentioned. No elements coded (isolation, not evidence binding). | Confidential peripheral I/O</t>
  </si>
  <si>
    <t xml:space="preserve">S0346</t>
  </si>
  <si>
    <t xml:space="preserve">CVShield</t>
  </si>
  <si>
    <t xml:space="preserve">Shengtuo Hu, Qi Alfred Chen, Jiwon Joung, Can Carlak, Yiheng Feng, Zhuoqing Morley Mao, Henry  X. Liu</t>
  </si>
  <si>
    <t xml:space="preserve">https://doi.org/10.1145/3375706.3380552</t>
  </si>
  <si>
    <t xml:space="preserve">TrustZone (OP-TEE) secure peripheral access for GPS reading; planned relocation of processing, encapsulation and transmission code via program slicing (CVShield)</t>
  </si>
  <si>
    <t xml:space="preserve">Integrity of GPS readings against a compromised normal world</t>
  </si>
  <si>
    <t xml:space="preserve">Full text read (ACM AutoSec 2020 workshop, 4 pages). i.MX6 Cortex-A9; CSU/TZASC restrict GPS UART to secure world; ~0.686 ms per 7.91-byte poll. Only sensor reading implemented; processing, packet encapsulation and transmission are future work. No signing, digest, freshness, attestation, calibration or model binding. Hardware attacks such as GPS spoofing out of scope. No elements coded (isolation, not evidence binding).</t>
  </si>
  <si>
    <t xml:space="preserve">S0347</t>
  </si>
  <si>
    <t xml:space="preserve">Towards Decentralized Accountability and Self-sovereignty in Healthcare Systems</t>
  </si>
  <si>
    <t xml:space="preserve">Xueping Liang, Sachin S. Shetty, Juan Zhao, Daniel Bowden, Danyi Li, Jihong Liu</t>
  </si>
  <si>
    <t xml:space="preserve">https://doi.org/10.1007/978-3-319-89500-0_34</t>
  </si>
  <si>
    <t xml:space="preserve">Intel SGX accountability + blockchain anchoring of wearable health data</t>
  </si>
  <si>
    <t xml:space="preserve">Earlier version of S0379 (same system and authors).</t>
  </si>
  <si>
    <t xml:space="preserve">S0348</t>
  </si>
  <si>
    <t xml:space="preserve">S0349</t>
  </si>
  <si>
    <t xml:space="preserve">WIP: Interrupt Attack on TEE-protected Robotic Vehicles</t>
  </si>
  <si>
    <t xml:space="preserve">Mulong Luo, G. Edward Suh</t>
  </si>
  <si>
    <t xml:space="preserve">https://doi.org/10.14722/autosec.2022.23001</t>
  </si>
  <si>
    <t xml:space="preserve">Attack on TEE-protected sensor timestamping (interrupt injected between sensor read and clock read)</t>
  </si>
  <si>
    <t xml:space="preserve">Timestamp (freshness) integrity of sensor data</t>
  </si>
  <si>
    <t xml:space="preserve">Full text read (NDSS AutoSec 2022 workshop, WIP). Intel SGX with SGX-Step interrupts; ROS with a simulated Jackal robot in Gazebo; timestamp error grows with interrupt interval and causes obstacle-localization errors. Shows TEE memory and trusted-clock protection do not ensure timestamp integrity; countermeasures left open. Attack study; no elements coded. | Attack on TEE-protected sensing</t>
  </si>
  <si>
    <t xml:space="preserve">S0350</t>
  </si>
  <si>
    <t xml:space="preserve">S0351</t>
  </si>
  <si>
    <t xml:space="preserve">VirtSense</t>
  </si>
  <si>
    <t xml:space="preserve">Renju Liu, Mani B. Srivastava</t>
  </si>
  <si>
    <t xml:space="preserve">https://doi.org/10.1145/3268935.3268937</t>
  </si>
  <si>
    <t xml:space="preserve">TrustZone virtual sensor instances (VirtSense)</t>
  </si>
  <si>
    <t xml:space="preserve">Sensor access control and isolation</t>
  </si>
  <si>
    <t xml:space="preserve">Charted from abstract only. Abstract read on CPS-VO. | Trusted sensor virtualization</t>
  </si>
  <si>
    <t xml:space="preserve">S0352</t>
  </si>
  <si>
    <t xml:space="preserve">Trusted Single-Source Sensors using SNARKs</t>
  </si>
  <si>
    <t xml:space="preserve">Saad Bin Shams, Emanuel Regnath, Andreas Bogner, Sebastian Steinhorst</t>
  </si>
  <si>
    <t xml:space="preserve">https://doi.org/10.1109/coins57856.2023.10189292</t>
  </si>
  <si>
    <t xml:space="preserve">TEE (Arm TrustZone in design) signs readings; AD-SNARK proofs that statistics (moving average, sliding variance) were computed correctly over authenticated data; PKI device certificate</t>
  </si>
  <si>
    <t xml:space="preserve">Authenticity of readings and integrity of processed statistics</t>
  </si>
  <si>
    <t xml:space="preserve">Full text read (IEEE COINS 2023). D: device key generated in secure world, X.509 certificate from manufacturer PKI. H(R): readings signed inside TEE and used as authenticated SNARK inputs. Implementation on a laptop with a simulated temperature sensor; partial Raspberry Pi 3 port (proof generation ~60 ms, verification ~230 ms); TEE part not evidently implemented. No freshness/nonce, firmware attestation, calibration or model binding. Elements: D, H(R). | Cryptographic proof of sensor processing</t>
  </si>
  <si>
    <t xml:space="preserve">S0353</t>
  </si>
  <si>
    <t xml:space="preserve">Security by design for IoT devices</t>
  </si>
  <si>
    <t xml:space="preserve">Mario Noseda, Lea Zimmerli, Andreas Rüst</t>
  </si>
  <si>
    <t xml:space="preserve">https://doi.org/10.21256/zhaw-20718</t>
  </si>
  <si>
    <t xml:space="preserve">Security-by-design white paper (TEE MCU + secure element)</t>
  </si>
  <si>
    <t xml:space="preserve">Charted from abstract only. White paper, not peer-reviewed.</t>
  </si>
  <si>
    <t xml:space="preserve">S0354</t>
  </si>
  <si>
    <t xml:space="preserve">AFCS: Aggregation-Free Spatial-Temporal Mobile Community Sensing</t>
  </si>
  <si>
    <t xml:space="preserve">Jiang Bian, Haoyi Xiong, Zhiyuan Wang, Jingbo Zhou, Shilei Ji, Hongyang Chen, Daqing Zhang, Dejing Dou</t>
  </si>
  <si>
    <t xml:space="preserve">https://doi.org/10.1109/tmc.2022.3178885</t>
  </si>
  <si>
    <t xml:space="preserve">S0355</t>
  </si>
  <si>
    <t xml:space="preserve">Trusted Execution of Periodic Tasks for Embedded Systems*</t>
  </si>
  <si>
    <t xml:space="preserve">Martin Gunnarsson, Nils Vreman, Martina Maggio</t>
  </si>
  <si>
    <t xml:space="preserve">https://doi.org/10.1016/j.ifacol.2023.10.082</t>
  </si>
  <si>
    <t xml:space="preserve">S0356</t>
  </si>
  <si>
    <t xml:space="preserve">A Privacy Protection Framework for Medical Image Security without Key Dependency Based on Visual Cryptography and Trusted Computing</t>
  </si>
  <si>
    <t xml:space="preserve">Denghui Zhang, Lijing Ren, Muhammad Faisal Shafiq, Zhaoquan Gu</t>
  </si>
  <si>
    <t xml:space="preserve">https://doi.org/10.1155/2023/6758406</t>
  </si>
  <si>
    <t xml:space="preserve">Visual cryptography + privacy-preserving recognition of medical images</t>
  </si>
  <si>
    <t xml:space="preserve">Medical image confidentiality</t>
  </si>
  <si>
    <t xml:space="preserve">Charted from abstract only.</t>
  </si>
  <si>
    <t xml:space="preserve">S0357</t>
  </si>
  <si>
    <t xml:space="preserve">Towards trusted execution of multi-modal continuous authentication schemes</t>
  </si>
  <si>
    <t xml:space="preserve">Carlton Shepherd, Raja Naeem Akram, Konstantinos Markantonakis</t>
  </si>
  <si>
    <t xml:space="preserve">https://doi.org/10.1145/3019612.3019652</t>
  </si>
  <si>
    <t xml:space="preserve">Intel SGX / secure elements for continuous authentication from sensor data</t>
  </si>
  <si>
    <t xml:space="preserve">Integrity/confidentiality of sensor-based authentication decisions</t>
  </si>
  <si>
    <t xml:space="preserve">Charted from abstract only (abstract supplied by author). No significant performance penalty. | TEE processing of sensor data for auth</t>
  </si>
  <si>
    <t xml:space="preserve">S0358</t>
  </si>
  <si>
    <t xml:space="preserve">Trusted Timing Services with Timeguard</t>
  </si>
  <si>
    <t xml:space="preserve">Adeel Nasrullah, Fatima M. Anwar</t>
  </si>
  <si>
    <t xml:space="preserve">https://doi.org/10.1109/rtas61025.2024.00009</t>
  </si>
  <si>
    <t xml:space="preserve">AI-suggested, confirm. Narrower rule: protects device/firmware/platform state only, not sensor or health data (may still be cited as background). Trusted time -&gt; freshness</t>
  </si>
  <si>
    <t xml:space="preserve">S0359</t>
  </si>
  <si>
    <t xml:space="preserve">My House, My Rules: A Private-by-Design Smart Home Platform</t>
  </si>
  <si>
    <t xml:space="preserve">Igor Zavalyshyn, Nuno Santos, Ramin Sadre, Axel Legay</t>
  </si>
  <si>
    <t xml:space="preserve">https://doi.org/10.1145/3448891.3450333</t>
  </si>
  <si>
    <t xml:space="preserve">Intel SGX private-by-design smart-home platform (PatrIoT)</t>
  </si>
  <si>
    <t xml:space="preserve">Sensor data confidentiality from cloud provider</t>
  </si>
  <si>
    <t xml:space="preserve">Charted from abstract only.  | Private-by-design sensor platform</t>
  </si>
  <si>
    <t xml:space="preserve">S0360</t>
  </si>
  <si>
    <t xml:space="preserve">Trust Layers for Automated Bridge Management Using Blockchain and Smart Contracts</t>
  </si>
  <si>
    <t xml:space="preserve">Leonardo Zunino, Valentina Gatteschi, Marco Domaneschi, Joan Ramon Casas, Valentina Villa</t>
  </si>
  <si>
    <t xml:space="preserve">https://doi.org/10.35490/ec3.2026.267</t>
  </si>
  <si>
    <t xml:space="preserve">S0361</t>
  </si>
  <si>
    <t xml:space="preserve">Lightweight secure sensing using hardware isolation</t>
  </si>
  <si>
    <t xml:space="preserve">Mengmei Ye, Nianhang Hu, Sheng Wei</t>
  </si>
  <si>
    <t xml:space="preserve">https://doi.org/10.1109/icsens.2016.7808904</t>
  </si>
  <si>
    <t xml:space="preserve">TrustZone hardware isolation of sensors (Zynq-7000)</t>
  </si>
  <si>
    <t xml:space="preserve">Sensor data privacy/integrity</t>
  </si>
  <si>
    <t xml:space="preserve">Charted from abstract only. Abstract read on CPS-VO; low overhead. | Hardware-isolated sensing</t>
  </si>
  <si>
    <t xml:space="preserve">S0362</t>
  </si>
  <si>
    <t xml:space="preserve">Secure federated machine learning for distributed spectrum sensing in communication networks</t>
  </si>
  <si>
    <t xml:space="preserve">Richard Searle, Prabhanjan Gururaj, Shreyas Gaikwad, Kiran Kannur</t>
  </si>
  <si>
    <t xml:space="preserve">https://doi.org/10.1117/12.2663765</t>
  </si>
  <si>
    <t xml:space="preserve">Confidential-computing federated learning with TEE attestation for spectrum sensing</t>
  </si>
  <si>
    <t xml:space="preserve">Training</t>
  </si>
  <si>
    <t xml:space="preserve">Training data privacy and model integrity</t>
  </si>
  <si>
    <t xml:space="preserve">Charted from abstract only (abstract supplied by author). Simulated sensor network; proposes PUF-encrypted raw data as future work. | Confidential FL for sensing</t>
  </si>
  <si>
    <t xml:space="preserve">S0363</t>
  </si>
  <si>
    <t xml:space="preserve">Adaptive Thermal Model for Structure Model Based Correction</t>
  </si>
  <si>
    <t xml:space="preserve">Xaver Thiem, Holger Rudolph, Robert Krahn, Steffen Ihlenfeldt, Christof W. Fetzer, Jens Müller</t>
  </si>
  <si>
    <t xml:space="preserve">https://doi.org/10.1007/978-3-031-34486-2_6</t>
  </si>
  <si>
    <t xml:space="preserve">S0364</t>
  </si>
  <si>
    <t xml:space="preserve">Flexible privilege management for microcontroller-class RISC-V cores</t>
  </si>
  <si>
    <t xml:space="preserve">Alessandro Cilardo, Stefano Mercogliano</t>
  </si>
  <si>
    <t xml:space="preserve">https://doi.org/10.1016/j.microrel.2022.114771</t>
  </si>
  <si>
    <t xml:space="preserve">S0365</t>
  </si>
  <si>
    <t xml:space="preserve">Blockchain-enabled bridge monitoring and maintenance</t>
  </si>
  <si>
    <t xml:space="preserve">G. Marengo, L. Zunino, N. Romani, V. Villa, V. Gatteschi, M. Domaneschi</t>
  </si>
  <si>
    <t xml:space="preserve">https://doi.org/10.1201/9781003778677-363</t>
  </si>
  <si>
    <t xml:space="preserve">S0366</t>
  </si>
  <si>
    <t xml:space="preserve">Resilient Edge-IoT Architectures by Optimizing Energy, Security and Adaptability : A Review</t>
  </si>
  <si>
    <t xml:space="preserve">Shri Janani Muruganantham, N. Ramasubramanian, B. Shameedha Begum</t>
  </si>
  <si>
    <t xml:space="preserve">https://doi.org/10.1109/cict67193.2025.11399204</t>
  </si>
  <si>
    <t xml:space="preserve">AI-suggested, confirm. Narrower rule: protects device/firmware/platform state only, not sensor or health data (may still be cited as background). Review</t>
  </si>
  <si>
    <t xml:space="preserve">S0367</t>
  </si>
  <si>
    <t xml:space="preserve">ImageBox: Small-Scale Blockchain-Aided Trusted Machine Learning Inference</t>
  </si>
  <si>
    <t xml:space="preserve">Lennart Almstedt, Leander Jehl, Lars Christian Wolf</t>
  </si>
  <si>
    <t xml:space="preserve">https://doi.org/10.1109/percomworkshops65533.2025.00032</t>
  </si>
  <si>
    <t xml:space="preserve">TEE + tamper-proof (single-node blockchain) storage of models, inputs and outputs (ImageBox)</t>
  </si>
  <si>
    <t xml:space="preserve">Integrity of ML inference on sensor data</t>
  </si>
  <si>
    <t xml:space="preserve">Full text read (IEEE PerCom Workshops 2025). Classifier in an Intel SGX enclave (LibraryOS/WASM); single-node blockchain (ContractBox) as tamper-evident storage recording model data, input (or its hash), and result; smart contract remotely attests the classifier enclave. Sensors assumed trusted (out of scope). About 35% overhead. Elements: F, M, H(R); M covers model identity bound to the result, not versioning or rollback policy.</t>
  </si>
  <si>
    <t xml:space="preserve">S0368</t>
  </si>
  <si>
    <t xml:space="preserve">Security Analysis and Improvement of a Redactable Consortium Blockchain for Industrial Internet-of-Things</t>
  </si>
  <si>
    <t xml:space="preserve">Wei Gao, Liqun Chen, Chunming Rong, Kaitai Liang, Xianghan Zheng, Jiangshan Yu</t>
  </si>
  <si>
    <t xml:space="preserve">https://doi.org/10.1093/comjnl/bxab080</t>
  </si>
  <si>
    <t xml:space="preserve">S0369</t>
  </si>
  <si>
    <t xml:space="preserve">vTrust: Remotely Executing Mobile Apps Transparently With Local Untrusted OS</t>
  </si>
  <si>
    <t xml:space="preserve">Yutao Tang, Zhengrui Qin, Zhiqiang Lin, Yue Li, Shanhe Yi, Fengyuan Xu, Qun Li</t>
  </si>
  <si>
    <t xml:space="preserve">https://doi.org/10.1109/tc.2022.3152074</t>
  </si>
  <si>
    <t xml:space="preserve">S0370</t>
  </si>
  <si>
    <t xml:space="preserve">Trust is Good, Monitoring is Better: FPG TEE-Based Monitoring for Malware-Detection</t>
  </si>
  <si>
    <t xml:space="preserve">Friederike Bruns, Georg Gläser, Florian Kögler, Jonas Lienke, Nithin Ravani Nanjundaswamy, Gregor Nitsche, Behnam Razi Perjikolaei, Jörg Walter</t>
  </si>
  <si>
    <t xml:space="preserve">https://doi.org/10.19124/ima.2025.01.25</t>
  </si>
  <si>
    <t xml:space="preserve">S0371</t>
  </si>
  <si>
    <r>
      <rPr>
        <sz val="9"/>
        <rFont val="Arial"/>
        <family val="2"/>
        <charset val="1"/>
      </rPr>
      <t xml:space="preserve">IoT</t>
    </r>
    <r>
      <rPr>
        <sz val="9"/>
        <rFont val="Noto Sans CJK SC"/>
        <family val="2"/>
      </rPr>
      <t xml:space="preserve">デバイスへの能動的物理攻撃とその対策に関する研究</t>
    </r>
  </si>
  <si>
    <t xml:space="preserve">翔永 梨本</t>
  </si>
  <si>
    <t xml:space="preserve">S0372</t>
  </si>
  <si>
    <t xml:space="preserve">Trust-Aware Environmental State Consensus for Smart Agriculture with TEE-Enabled Sensing and Byzantine-Resilient Blockchain Coordination</t>
  </si>
  <si>
    <t xml:space="preserve">Lanlan Li, Charles Z. Liu, Kejia Huang, Ruiyi Deng, Majed Abdullah Alrowaily, Mansoor Alghamdi, Ibrahim S. Alkhazi, Malek Alrashidi</t>
  </si>
  <si>
    <t xml:space="preserve">https://doi.org/10.3390/s26144577</t>
  </si>
  <si>
    <t xml:space="preserve">TrustZone-M sensing + OP-TEE gateways + Byzantine-resilient aggregation</t>
  </si>
  <si>
    <t xml:space="preserve">Authenticated sensor outputs; consensus</t>
  </si>
  <si>
    <t xml:space="preserve">Full text read. Sensors include CO2 (gas, non-chemiresistive). Attack model lists calibration deviations, but no calibration protection is described. TEE does not guarantee reading correctness. | TEE-enabled environmental sensing</t>
  </si>
  <si>
    <t xml:space="preserve">S0373</t>
  </si>
  <si>
    <t xml:space="preserve">Ensuring End-to-End IoT Data Security and Privacy Through Cloud-Enhanced Confidential Computing</t>
  </si>
  <si>
    <t xml:space="preserve">Md Shihabul Islam, Mahmoud Zamani, Kevin W. Hamlen, Latifur R. Khan, Murat Kantarcıoğlu</t>
  </si>
  <si>
    <t xml:space="preserve">https://doi.org/10.1007/978-3-031-65172-4_5</t>
  </si>
  <si>
    <t xml:space="preserve">Memory-access-pattern attack on TEE IoT pipelines + data-oblivious execution and padding (SecIoTT)</t>
  </si>
  <si>
    <t xml:space="preserve">Sensor-reading confidentiality inside TEEs</t>
  </si>
  <si>
    <t xml:space="preserve">Full text read (DBSec 2024, LNCS 14901, pp. 71-91). Trigger-action IoT automation platform in an Intel SGX enclave in an untrusted cloud, devices assumed to have Arm TrustZone, MQTT transport. Memory access patterns reveal device type (~95%) and values such as temperature (~85%); oblivious execution and padding reduce these to &lt;=27% and &lt;=19%. No elements coded (attack and confidentiality defense). | End-to-end confidential computing for IoT data</t>
  </si>
  <si>
    <t xml:space="preserve">S0374</t>
  </si>
  <si>
    <t xml:space="preserve">Toward an Experimental Infrastructure and Education Program for BDMA and BDSP</t>
  </si>
  <si>
    <t xml:space="preserve">Bhavani M. Thuraisingham, Mohammad Mehedy Masud, Pallabi Parveen, Latifur Khan</t>
  </si>
  <si>
    <t xml:space="preserve">https://doi.org/10.1201/9781315119458-39</t>
  </si>
  <si>
    <t xml:space="preserve">S0375</t>
  </si>
  <si>
    <t xml:space="preserve">Ringmaster: How to juggle high-throughput host OS system calls from TrustZone TEEs</t>
  </si>
  <si>
    <t xml:space="preserve">Richard Habeeb, Man-Ki Yoon, Hao Chen, Zhong Shao</t>
  </si>
  <si>
    <t xml:space="preserve">AI-suggested, confirm. Narrower rule: protects device/firmware/platform state only, not sensor or health data (may still be cited as background). TrustZone systems</t>
  </si>
  <si>
    <t xml:space="preserve">S0376</t>
  </si>
  <si>
    <t xml:space="preserve">Richard Habeeb, Man-Ki Yoon, Hao Mark Chen, Zhong Shao</t>
  </si>
  <si>
    <t xml:space="preserve">https://doi.org/10.48550/arxiv.2601.16448</t>
  </si>
  <si>
    <t xml:space="preserve">S0377</t>
  </si>
  <si>
    <t xml:space="preserve">Trustworthy Time Architecture for the Network Edge</t>
  </si>
  <si>
    <t xml:space="preserve">Nasrullah, Adeel</t>
  </si>
  <si>
    <t xml:space="preserve">https://doi.org/10.7275/wgkb-qw34</t>
  </si>
  <si>
    <t xml:space="preserve">S0378</t>
  </si>
  <si>
    <t xml:space="preserve">Securing the Cognitive Layer: A Survey on Security Threats, Defenses, and Privacy-Preserving Architectures for LLM-IoT Integration</t>
  </si>
  <si>
    <t xml:space="preserve">Ayan Joshi, Sabur Baidya</t>
  </si>
  <si>
    <t xml:space="preserve">https://doi.org/10.3390/jcp6020063</t>
  </si>
  <si>
    <t xml:space="preserve">S0379</t>
  </si>
  <si>
    <t xml:space="preserve">Blockchain-Based Decentralized Accountability and Self-Sovereignty in Healthcare Systems</t>
  </si>
  <si>
    <t xml:space="preserve">Sachin S. Shetty, Xueping Liang, Daniel Bowden, Juan Zhao, Lingchen Zhang</t>
  </si>
  <si>
    <t xml:space="preserve">https://doi.org/10.1007/978-3-319-99058-3_5</t>
  </si>
  <si>
    <t xml:space="preserve">Permissioned blockchain + Intel SGX for wearable health-data integrity and privacy</t>
  </si>
  <si>
    <t xml:space="preserve">Personal health data integrity, privacy, accountability</t>
  </si>
  <si>
    <t xml:space="preserve">Charted from abstract only (abstract supplied by author). Extended version of S0347.</t>
  </si>
  <si>
    <t xml:space="preserve">S0380</t>
  </si>
  <si>
    <t xml:space="preserve">https://doi.org/10.1145/3745756.3809240</t>
  </si>
  <si>
    <t xml:space="preserve">S0381</t>
  </si>
  <si>
    <t xml:space="preserve">ReFID: A System-Aware Remote Fault-Injection Attack Detection &amp; Mitigation for Secure Heterogeneous System</t>
  </si>
  <si>
    <t xml:space="preserve">Amit Mazumder Shuvo, Md Latifur Rahman, Jingbo Zhou, Farimah Farahmandi, Mark Mohammad Tehranipoor</t>
  </si>
  <si>
    <t xml:space="preserve">https://doi.org/10.1109/host64725.2025.11050064</t>
  </si>
  <si>
    <t xml:space="preserve">S0382</t>
  </si>
  <si>
    <t xml:space="preserve">Zero-Trust Mobile Application Architecture for Financial Transactions and Fraud Prevention</t>
  </si>
  <si>
    <t xml:space="preserve">Ruturajsinh Kiritsinh Jadeja</t>
  </si>
  <si>
    <t xml:space="preserve">https://doi.org/10.17762/ijisae.v11i6s.8479</t>
  </si>
  <si>
    <t xml:space="preserve">S0383</t>
  </si>
  <si>
    <t xml:space="preserve">SecureQNN: Shielding the Intellectual Property of QNNs in TinyML Systems</t>
  </si>
  <si>
    <t xml:space="preserve">Miguel Costa, Tiago Gomes, Sandro Pinto</t>
  </si>
  <si>
    <t xml:space="preserve">https://doi.org/10.1109/jiot.2025.3600300</t>
  </si>
  <si>
    <t xml:space="preserve">TEE protection of quantized NN on MCUs (SecureQNN)</t>
  </si>
  <si>
    <t xml:space="preserve">Model IP on edge devices near sensors</t>
  </si>
  <si>
    <t xml:space="preserve">Full text read (IEEE IoT J. 12(21), 2025); earlier DSAI and GENZERO versions also read. TrustZone-M on Cortex-M33 (STM Nucleo-L552ZE-Q); isolates the privacy-critical 51-65% of QNN layers in the secure world, worst-case latency overhead 0.06%; relies on TF-M secure boot. Protects model IP; inputs gathered in the normal world, and the threat model lets attackers spoof sensors to collect inference data. No model versioning, input or reading protection. No elements coded. Excluded at eligibility (E8, 2026-10-17): protects model IP only, not sensor or health data, so it fails the narrowed I1. | TEE protection of TinyML model IP on MCUs</t>
  </si>
  <si>
    <t xml:space="preserve">S0384</t>
  </si>
  <si>
    <t xml:space="preserve">Federated Learning for Privacy-Preserving Healthcare Data Analytic</t>
  </si>
  <si>
    <t xml:space="preserve">Manasy Jayasurya</t>
  </si>
  <si>
    <t xml:space="preserve">https://doi.org/10.5281/zenodo.19247307</t>
  </si>
  <si>
    <t xml:space="preserve">S0385</t>
  </si>
  <si>
    <t xml:space="preserve">Security and Privacy Challenges in Embedded Machine Learning</t>
  </si>
  <si>
    <t xml:space="preserve">Eyosiyas Tibebu Endalamaw, Mohammadreza Mehrabian, Francis E. Akowuah</t>
  </si>
  <si>
    <t xml:space="preserve">https://doi.org/10.1007/978-3-032-33701-6_10</t>
  </si>
  <si>
    <t xml:space="preserve">Survey of embedded ML security</t>
  </si>
  <si>
    <t xml:space="preserve">Charted from abstract only (abstract supplied by author). Survey without own evaluation; background citation. | Review</t>
  </si>
  <si>
    <t xml:space="preserve">S0386</t>
  </si>
  <si>
    <t xml:space="preserve">Enclave-based privacy-preserving localization</t>
  </si>
  <si>
    <t xml:space="preserve">Joseph I. Choi, Dave Jing Tian, Tyler B. Ward, Kevin R. B. Butler, Patrick Traynor, John M. Shea, Tan F. Wong</t>
  </si>
  <si>
    <t xml:space="preserve">https://doi.org/10.1145/3317549.3326307</t>
  </si>
  <si>
    <t xml:space="preserve">SGX enclaves for privacy-preserving particle-filter localization</t>
  </si>
  <si>
    <t xml:space="preserve">Sensor location privacy</t>
  </si>
  <si>
    <t xml:space="preserve">Charted from abstract only (abstract supplied by author). +16 ms vs unprotected; cryptographic alternatives orders of magnitude slower.</t>
  </si>
  <si>
    <t xml:space="preserve">S0387</t>
  </si>
  <si>
    <t xml:space="preserve">PRISM: A Hybrid LibOS–TEE Framework for Continuous Runtime Privacy in Embodied AI</t>
  </si>
  <si>
    <t xml:space="preserve">Association for Artificial Intelligence 2026</t>
  </si>
  <si>
    <t xml:space="preserve">https://doi.org/10.48448/vh41-ne84</t>
  </si>
  <si>
    <t xml:space="preserve">S0388</t>
  </si>
  <si>
    <t xml:space="preserve">Cyber-Resilient Avionics for the Eurofighter Typhoon: A Systematic Analysis of Software Attack Surfaces, Safety Security Interactions, and Adaptive Assurance Architectures</t>
  </si>
  <si>
    <t xml:space="preserve">EMRAH EKREM KARABAG</t>
  </si>
  <si>
    <t xml:space="preserve">https://doi.org/10.2139/ssrn.7334542</t>
  </si>
  <si>
    <t xml:space="preserve">S0389</t>
  </si>
  <si>
    <t xml:space="preserve">Securing Connected and Automated Vehicle through Proactive Vulnerability Analysis and Security Enhancement</t>
  </si>
  <si>
    <t xml:space="preserve">Shengtuo Hu</t>
  </si>
  <si>
    <t xml:space="preserve">https://doi.org/10.7302/6800</t>
  </si>
  <si>
    <t xml:space="preserve">S0390</t>
  </si>
  <si>
    <t xml:space="preserve">Trustworthy Data Equity: A Retrospective Risk-Hedging Protocol for High-Entropy IoT Data Assets</t>
  </si>
  <si>
    <t xml:space="preserve">Yuji Dong, Yueqi Su, Sida Huang, Jie Zhang</t>
  </si>
  <si>
    <t xml:space="preserve">https://doi.org/10.1109/jiot.2026.3696034</t>
  </si>
  <si>
    <t xml:space="preserve">S0391</t>
  </si>
  <si>
    <t xml:space="preserve">S0392</t>
  </si>
  <si>
    <t xml:space="preserve">Security First, Safety Next: The Next-Generation Embedded Sensors for Autonomous Vehicles</t>
  </si>
  <si>
    <t xml:space="preserve">Luís Cunha, João Duarte Sousa, José Azevedo, Sandro Pinto, Tiago Gomes</t>
  </si>
  <si>
    <t xml:space="preserve">https://doi.org/10.3390/electronics14112172</t>
  </si>
  <si>
    <t xml:space="preserve">TrustZone/MPU isolation for automotive ECUs</t>
  </si>
  <si>
    <t xml:space="preserve">Platform isolation</t>
  </si>
  <si>
    <t xml:space="preserve">Full text read. Signs inter-ECU data, not sensor readings; no quantitative evaluation. | TEE-backed embedded sensors (automotive)</t>
  </si>
  <si>
    <t xml:space="preserve">S0393</t>
  </si>
  <si>
    <t xml:space="preserve">HONORA™ - Homomorphically Orchestrated Network for Oblivious Recognition and Authorization Homomorphic Realization Framework for the RUAIRI Protected-Intelligence Pipeline Architecture Operating Through Protected Recognition, Protected Eligibility, and Governed Release under Bounded and Fragmented Trust</t>
  </si>
  <si>
    <t xml:space="preserve">Joshua Kramer</t>
  </si>
  <si>
    <t xml:space="preserve">https://doi.org/10.5281/zenodo.23223266</t>
  </si>
  <si>
    <t xml:space="preserve">S0394</t>
  </si>
  <si>
    <t xml:space="preserve">Secure Mobile Payment Systems: Evaluation of Tokenization and Biometrics</t>
  </si>
  <si>
    <t xml:space="preserve">Nurzhan Zhumabekuly Aitzhan</t>
  </si>
  <si>
    <t xml:space="preserve">https://doi.org/10.21590/c96tma87</t>
  </si>
  <si>
    <t xml:space="preserve">S0395</t>
  </si>
  <si>
    <t xml:space="preserve">Security Monitor for Mobile Devices: Design and Applications</t>
  </si>
  <si>
    <t xml:space="preserve">Saeed Mirzamohammadi</t>
  </si>
  <si>
    <t xml:space="preserve">S0396</t>
  </si>
  <si>
    <t xml:space="preserve">Securing the AI-Driven Vehicle: A Hardware-Based Security Framework for Scalable, Trustworthy Autonomy</t>
  </si>
  <si>
    <t xml:space="preserve">Pav C Suriyanarayanan, Radu Iacob</t>
  </si>
  <si>
    <t xml:space="preserve">https://doi.org/10.4271/2026-01-0085</t>
  </si>
  <si>
    <t xml:space="preserve">Layered hardware security (interface security, SRAM PUF keys, secure boot) for AV sensor-to-compute paths</t>
  </si>
  <si>
    <t xml:space="preserve">Acquisition / transmission</t>
  </si>
  <si>
    <t xml:space="preserve">Integrity of sensor interfaces (MIPI, Ethernet, PCIe)</t>
  </si>
  <si>
    <t xml:space="preserve">Charted from abstract only (abstract supplied by author). Architecture proposal; no evaluation reported in abstract.</t>
  </si>
  <si>
    <t xml:space="preserve">S0397</t>
  </si>
  <si>
    <t xml:space="preserve">A Study on Generic Data Analysis Application the Cloud Using SGX</t>
  </si>
  <si>
    <t xml:space="preserve">S. Baskaran, S. Venkatesan</t>
  </si>
  <si>
    <t xml:space="preserve">https://doi.org/10.32628/cseit195363</t>
  </si>
  <si>
    <t xml:space="preserve">S0398</t>
  </si>
  <si>
    <t xml:space="preserve">CCoE Webinar: Ancile: Enhancing Privacy for Ubiquitous Computing with Use-Based Privacy</t>
  </si>
  <si>
    <t xml:space="preserve">Jason Waterman</t>
  </si>
  <si>
    <t xml:space="preserve">S0399</t>
  </si>
  <si>
    <t xml:space="preserve">S0400</t>
  </si>
  <si>
    <t xml:space="preserve">AI-Enabled Multimodal Biometrics</t>
  </si>
  <si>
    <t xml:space="preserve">Murali Krishna Pasupuleti</t>
  </si>
  <si>
    <t xml:space="preserve">https://doi.org/10.62311/nesx/rb978-81-983775-7-9</t>
  </si>
  <si>
    <t xml:space="preserve">S0401</t>
  </si>
  <si>
    <t xml:space="preserve">DSFB-Phosphoric Structural Semiotics Engine for Deterministic Forensic Computing: A DSFB-Native Execution Substrate for Typed Residual Emission at Compile-Time-Checked Authority Boundaries in Single-Purpose Edge Devices</t>
  </si>
  <si>
    <t xml:space="preserve">Riaan De Beer</t>
  </si>
  <si>
    <t xml:space="preserve">https://doi.org/10.5281/zenodo.20024282</t>
  </si>
  <si>
    <t xml:space="preserve">S0402</t>
  </si>
  <si>
    <t xml:space="preserve">RedTeam-TDS: Adversarial and Misalignment Risk Simulation with Robustness Mechanisms for LLM Multi-Agent Systems in Aerospace Trusted Datas Spaces</t>
  </si>
  <si>
    <t xml:space="preserve">Yungui Nie, Zhiguo Shi, HuiLing Ge</t>
  </si>
  <si>
    <t xml:space="preserve">https://doi.org/10.1007/978-981-92-5712-6_24</t>
  </si>
  <si>
    <t xml:space="preserve">S0403</t>
  </si>
  <si>
    <t xml:space="preserve">Blockchain-based Storage with SGX Clients for Mobile Games</t>
  </si>
  <si>
    <t xml:space="preserve">Rodrigo Martins</t>
  </si>
  <si>
    <t xml:space="preserve">S0404</t>
  </si>
  <si>
    <t xml:space="preserve">S0405</t>
  </si>
  <si>
    <t xml:space="preserve">Zero-Knowledge Proofs for Immutable Deepfake Auditing in Digital Judiciary Systems: Hardware-Rooted Sensor Provenance, Verifiable Image Signal Pipelines, and Consortium Blockchain Evidence Custody</t>
  </si>
  <si>
    <t xml:space="preserve">Kartik Kothalkar</t>
  </si>
  <si>
    <t xml:space="preserve">https://doi.org/10.5281/zenodo.22900050</t>
  </si>
  <si>
    <t xml:space="preserve">ZK proofs + hardware-rooted sensor provenance for evidence</t>
  </si>
  <si>
    <t xml:space="preserve">Charted from abstract only. Self-published repository, not peer-reviewed. | Sensor provenance; check peer review</t>
  </si>
  <si>
    <t xml:space="preserve">S0406</t>
  </si>
  <si>
    <t xml:space="preserve">Perancangan dan Implementasi Sistem Pembangkitan Kunci Kriptografi Deterministik Berbasis Biometrik Sidik Jari pada Android</t>
  </si>
  <si>
    <t xml:space="preserve">Imam Faozi, M. Imam Sulistyo Sarjowo, M. Agus Sunandar</t>
  </si>
  <si>
    <t xml:space="preserve">https://doi.org/10.37817/ikraith-informatika.v10i2.6953</t>
  </si>
  <si>
    <t xml:space="preserve">S0407</t>
  </si>
  <si>
    <t xml:space="preserve">Securing Two-factor Authentication for Smartphones in a Usable Way by Adding a Connected Token.</t>
  </si>
  <si>
    <t xml:space="preserve">Matthias Lange</t>
  </si>
  <si>
    <t xml:space="preserve">S0408</t>
  </si>
  <si>
    <t xml:space="preserve">Hybrid Machine Learning for Privacy-Preserving Multi-Modal Data Analytics: An Application-Oriented Framework</t>
  </si>
  <si>
    <t xml:space="preserve">Rella Usha Rani, Bhuvan Unhelkar, Siva Shankar S, Parasana Sankara Rao</t>
  </si>
  <si>
    <t xml:space="preserve">S0409</t>
  </si>
  <si>
    <t xml:space="preserve">Hardware-Enforced Execution Governance of Artificial Intelligence Systems: Architecture, Mechanisms, and Workflow</t>
  </si>
  <si>
    <t xml:space="preserve">Sangam Das</t>
  </si>
  <si>
    <t xml:space="preserve">https://doi.org/10.5281/zenodo.19439780</t>
  </si>
  <si>
    <t xml:space="preserve">S0410</t>
  </si>
  <si>
    <t xml:space="preserve">Laboratory Characterization for Indoor Scenario of the Micro Gas Sensor SGX SENSORTECH MICS6814</t>
  </si>
  <si>
    <t xml:space="preserve">Ettore Massera, Luigi Barretta, Brigida Alfano, Tiziana Polichetti, Maria Lucia Miglietta, Paola Delli Veneri</t>
  </si>
  <si>
    <t xml:space="preserve">https://doi.org/10.1007/978-3-030-69551-4_33</t>
  </si>
  <si>
    <t xml:space="preserve">S0411</t>
  </si>
  <si>
    <t xml:space="preserve">Highly Reliable RS-PUF Based on Reconfigurable Gas Sensor Array</t>
  </si>
  <si>
    <t xml:space="preserve">Haonan He, Pengjun Wang, Xiangyu Li, Yuejun Zhang, Xiaowei Zhang</t>
  </si>
  <si>
    <t xml:space="preserve">https://doi.org/10.1109/jsen.2024.3375872</t>
  </si>
  <si>
    <t xml:space="preserve">Gas-sensor PUF (reconfigurable ZnO-SnO2 array)</t>
  </si>
  <si>
    <t xml:space="preserve">Sensor-node identity for gas sensor networks</t>
  </si>
  <si>
    <t xml:space="preserve">Full text read (IEEE Sensors J. 24(10), 2024). ZnO-SnO2 sensors with reconfigurable array and reconstruction strategy; ethanol 200-800 ppm; uniqueness 52.4%, randomness 99.1%, reliability 98.17%; BER at 4.5 V and 500 ppm; reliability over 20 days. Humidity not tested. No protocol, reading or calibration binding. Elements: D. | Gas-sensor PUF (IEEE Sensors J. 2024)</t>
  </si>
  <si>
    <t xml:space="preserve">S0412</t>
  </si>
  <si>
    <t xml:space="preserve">S0413</t>
  </si>
  <si>
    <t xml:space="preserve">S0414</t>
  </si>
  <si>
    <t xml:space="preserve">A High-Reliability Gas-Sensor-Based PUF for Secure IoT</t>
  </si>
  <si>
    <t xml:space="preserve">Zhanbo Chen, Shanshan Wang, Xiaowei Zhang, Hao Ye, Pengjun Wang, Xiangyu Li</t>
  </si>
  <si>
    <t xml:space="preserve">https://doi.org/10.1109/jsen.2026.3701345</t>
  </si>
  <si>
    <t xml:space="preserve">Gas-sensor PUF (WO2.90; challenge-response, 128-bit)</t>
  </si>
  <si>
    <t xml:space="preserve">Cryptographic keys from sensor nanostructure</t>
  </si>
  <si>
    <t xml:space="preserve">Full text read (IEEE Sensors J. 26(14), 2026). Sixteen WO2.90 sensors, multidimensional resistive arbitration, 10,000 CRPs; uniqueness 50.02%, average BER 1.45%; reliability &gt;97% across supply voltage, worst 96.1% over 20-80 C, tracked over 100 days of aging; NIST SP 800-22 pass, min-entropy 127.84/128 bits; LR/SVM/RF/MLP modeling attacks near 50%. Humidity not tested. No protocol, reading or calibration binding. Elements: D. | Gas-sensor PUF (IEEE Sensors J. 2026)</t>
  </si>
  <si>
    <t xml:space="preserve">S0415</t>
  </si>
  <si>
    <t xml:space="preserve">S0416</t>
  </si>
  <si>
    <t xml:space="preserve">Pulsed laser deposition of metal oxide nanostructures for highly sensitive gas sensor applications</t>
  </si>
  <si>
    <t xml:space="preserve">Joni Huotari, Ville Kekkonen, Tomi Haapalainen, M. Leidinger, Tilman Sauerwald, Jarkko Puustinen, J. Liimatainen, Jyrki Lappalainen</t>
  </si>
  <si>
    <t xml:space="preserve">https://doi.org/10.1016/j.snb.2016.04.060</t>
  </si>
  <si>
    <t xml:space="preserve">S0417</t>
  </si>
  <si>
    <t xml:space="preserve">Pulsed Laser Deposition of Metal Oxide Nanoparticles, Agglomerates, and Nanotrees for Chemical Sensors</t>
  </si>
  <si>
    <t xml:space="preserve">Joni Huotari, Jyrki Lappalainen, Jarkko Puustinen, Tobias Baur, Christine Alépée, Tomi Haapalainen, Samuli Komulainen, Juho Pylvänäinen, Anita Lloyd Spetz</t>
  </si>
  <si>
    <t xml:space="preserve">https://doi.org/10.1016/j.proeng.2015.08.745</t>
  </si>
  <si>
    <t xml:space="preserve">S0418</t>
  </si>
  <si>
    <t xml:space="preserve">S0419</t>
  </si>
  <si>
    <t xml:space="preserve">Highly Reliable Physical Unclonable Function Based on ZnO-SnO2 Gas Sensor</t>
  </si>
  <si>
    <t xml:space="preserve">Haonan He, Pengjun Wang, Xiangyu Li, Li Ni, Yuejun Zhang</t>
  </si>
  <si>
    <t xml:space="preserve">https://doi.org/10.1109/asicon58565.2023.10396120</t>
  </si>
  <si>
    <t xml:space="preserve">Gas-sensor PUF (ZnO-SnO2 nanofibers; 128-bit)</t>
  </si>
  <si>
    <t xml:space="preserve">Sensing-node identity</t>
  </si>
  <si>
    <t xml:space="preserve">Full text read (IEEE ASICON 2023, 4 pages). Eight ZnO-SnO2 sensors, three per cluster, median averaging filter + multi-bit balancing, 128-bit response; ethanol at several concentrations and operating voltages; uniqueness 50.93%, randomness 97.92%, reliability 98.05%. Humidity not tested. No protocol, reading or calibration binding. Elements: D. | Gas-sensor PUF (ASICON 2023)</t>
  </si>
  <si>
    <t xml:space="preserve">S0420</t>
  </si>
  <si>
    <t xml:space="preserve">Ni-Doped SnO2 Gas Sensor Array Enabled High-Randomness PUF for Hardware Security Applications</t>
  </si>
  <si>
    <t xml:space="preserve">Zexin Ji, Xi Zhang, Zhanbo Chen, S S Wang, Wenbo Zhang, Hao Ye, X D Li</t>
  </si>
  <si>
    <t xml:space="preserve">https://doi.org/10.3390/mi17050597</t>
  </si>
  <si>
    <t xml:space="preserve">Gas-sensor PUF (Ni-doped SnO2 array; 128-bit, random resistance balancing over sensor clusters)</t>
  </si>
  <si>
    <t xml:space="preserve">Full text read (Micromachines 2026, 17(5), 597). Ethanol 500-600 ppm stimulus; entropy &gt;0.99, uniqueness 49.8%, NIST pass; reliability &gt;96% only under fixed laboratory conditions; humidity effects and ML modeling attacks not evaluated (future work). No reading, calibration or protocol binding. Elements: D. | Gas-sensor PUF (Micromachines 2026)</t>
  </si>
  <si>
    <t xml:space="preserve">S0421</t>
  </si>
  <si>
    <t xml:space="preserve">Personal electronic systems for citizen measurements of air quality</t>
  </si>
  <si>
    <t xml:space="preserve">Jesús Lozano, José Ignacio Suárez, Félix Meléndez, Sergio Rodríguez, Patricia Arroyo, José Luis Herrero, Pablo Carmona</t>
  </si>
  <si>
    <t xml:space="preserve">https://doi.org/10.1109/expat.2019.8876471</t>
  </si>
  <si>
    <t xml:space="preserve">S0422</t>
  </si>
  <si>
    <t xml:space="preserve">The Missing Applications Found: Robust Design Techniques and Novel Uses of Memristors</t>
  </si>
  <si>
    <t xml:space="preserve">Marco Ottavi, Vishal Gupta, Saurabh Khandelwal, Shahar Kvatinsky, Jimson Mathew, Eugenio Martinelli, Abusaleh M. Jabir</t>
  </si>
  <si>
    <t xml:space="preserve">https://doi.org/10.1109/iolts.2019.8854427</t>
  </si>
  <si>
    <t xml:space="preserve">S0423</t>
  </si>
  <si>
    <t xml:space="preserve">A Comprehensive Review of Semiconductor-Type Gas Sensors for Environmental Monitoring</t>
  </si>
  <si>
    <t xml:space="preserve">Anand Nayyar, Vikram Puri, Dac‐Nhuong Le</t>
  </si>
  <si>
    <t xml:space="preserve">https://doi.org/10.18488/journal.76/2016.3.3/76.3.55.64</t>
  </si>
  <si>
    <t xml:space="preserve">S0424</t>
  </si>
  <si>
    <t xml:space="preserve">Humidity Dependence of Commercial Thick and Thin-Film MOX Gas Sensors under UV Illumination</t>
  </si>
  <si>
    <t xml:space="preserve">Sai Kiran Ayyala, James Anthony Covington</t>
  </si>
  <si>
    <t xml:space="preserve">https://doi.org/10.3390/ecsa-8-11246</t>
  </si>
  <si>
    <t xml:space="preserve">S0425</t>
  </si>
  <si>
    <t xml:space="preserve">Humidity dependence of commercial thick and thin-film MOX gas sensors under Ultra-Violet illumination</t>
  </si>
  <si>
    <t xml:space="preserve">S0426</t>
  </si>
  <si>
    <t xml:space="preserve">A Highly Selective Temperature and Humidity Compensated MOX Based Multi-Gas Sensor Module with Bluetooth 5.0 Connectivity</t>
  </si>
  <si>
    <t xml:space="preserve">Sylvain Pétré, Thomas Walewijns, Roussin Lontio Fomekong, Driss Lahem, Laurent Francis</t>
  </si>
  <si>
    <t xml:space="preserve">S0427</t>
  </si>
  <si>
    <t xml:space="preserve">MASTER'S THESIS GAS RESPONSE PROPERTIES OF METAL OXIDE NANOPARTICLE BASED SENSORS ON MEMS MICROHOTPLATE PLATFORMS</t>
  </si>
  <si>
    <t xml:space="preserve">Tomi Haapalainen, Krisztián Kordás</t>
  </si>
  <si>
    <t xml:space="preserve">S0428</t>
  </si>
  <si>
    <t xml:space="preserve">Evaluation of Metal Oxides Sensors for the Monitoring of O3 in Ambient Air at Ppb Level</t>
  </si>
  <si>
    <t xml:space="preserve">Laurent Spinelle, M. Gerboles, M. Aleixandre, Fausto Bonavitacola</t>
  </si>
  <si>
    <t xml:space="preserve">https://doi.org/10.3303/cet1654054</t>
  </si>
  <si>
    <t xml:space="preserve">S0429</t>
  </si>
  <si>
    <t xml:space="preserve">Ozone and Carbon Monoxide Dataset Collected by the OpenSense Zurich Mobile Sensor Network</t>
  </si>
  <si>
    <t xml:space="preserve">Balz Maag, David Hasenfratz, Olga Saukh, Zimu Zhou, Christoph Walser, Jan Beutel, Lothar Thiele</t>
  </si>
  <si>
    <t xml:space="preserve">https://doi.org/10.5281/zenodo.3355207</t>
  </si>
  <si>
    <t xml:space="preserve">Ref. no. in paper</t>
  </si>
  <si>
    <t xml:space="preserve">Chemical-sensor data (Y/N)</t>
  </si>
  <si>
    <t xml:space="preserve">D</t>
  </si>
  <si>
    <t xml:space="preserve">F</t>
  </si>
  <si>
    <t xml:space="preserve">A</t>
  </si>
  <si>
    <t xml:space="preserve">C</t>
  </si>
  <si>
    <t xml:space="preserve">M</t>
  </si>
  <si>
    <t xml:space="preserve">H(R)</t>
  </si>
  <si>
    <t xml:space="preserve">Elements (count)</t>
  </si>
  <si>
    <t xml:space="preserve">Charting source</t>
  </si>
  <si>
    <t xml:space="preserve">Evidence type for coded elements</t>
  </si>
  <si>
    <t xml:space="preserve">Evidence level</t>
  </si>
  <si>
    <t xml:space="preserve">Mechanism category</t>
  </si>
  <si>
    <t xml:space="preserve">Full text</t>
  </si>
  <si>
    <t xml:space="preserve">Implemented and evaluated</t>
  </si>
  <si>
    <t xml:space="preserve">Primary synthesis</t>
  </si>
  <si>
    <t xml:space="preserve">TEE or enclave</t>
  </si>
  <si>
    <t xml:space="preserve">Implemented (Chinese full text read)</t>
  </si>
  <si>
    <t xml:space="preserve">PUF only</t>
  </si>
  <si>
    <t xml:space="preserve">Weakness shown (attack)</t>
  </si>
  <si>
    <t xml:space="preserve">Other (isolation monitor, spoofing attack)</t>
  </si>
  <si>
    <t xml:space="preserve">Full text read (IEEE SSCI 2018). Body-odor samples from MQ-series gas sensors; K-means, PCA and neural network identify individuals with high accuracy. Shows odor data are identifying (I2). No protection mechanism. No elements coded. | AI-suggested, confirm. Odor biometric</t>
  </si>
  <si>
    <t xml:space="preserve">Breath or odor ML</t>
  </si>
  <si>
    <t xml:space="preserve">Full text read (Springer/EAI chapter, 2021). ESP32 with DHT11 temperature-humidity sensor; timestamped readings written to a file and encrypted with AES-CBC, last block used as MAC. Gas sensors mentioned only as a possible addition, so no chemical-sensor data were used (reclassified from Y). No performance evaluation, device-side protection, freshness, attestation, calibration or model binding. No elements coded. | AI-suggested, confirm. Authenticated encryption of smart-home sensor data</t>
  </si>
  <si>
    <t xml:space="preserve">Cryptography only</t>
  </si>
  <si>
    <t xml:space="preserve">D implemented; N formal verification only (ProVerif)</t>
  </si>
  <si>
    <t xml:space="preserve">Full text read (Electronics 2024, 13(17), 3385). D: GS-PUF response hashed for node authentication; ethanol and methanol stimuli. N: user and server random numbers per session; formally resists replay, impersonation, node tampering and cloning (ProVerif only, no hardware protocol timing). Gas data sent under a session key (confidentiality), but individual readings are not digested or signed. No calibration, firmware or model binding. Elements: D, N. | AI-suggested, confirm. Gas-sensor PUF authentication protocol</t>
  </si>
  <si>
    <t xml:space="preserve">Full text read (IEEE Sensors J. 25(7), 2025). Eight TiO2-ZnO sensors, three per cluster, median averaging filter + multi-bit balancing, 128-bit response; varied gas concentrations and operating voltages; uniqueness 49.6%, randomness 98.6%, reliability 97%. Authentication and key management claimed as applications only, no protocol. Humidity not tested. Elements: D. | AI-suggested, confirm. Gas-sensor PUF (IEEE Sensors J. 2025)</t>
  </si>
  <si>
    <t xml:space="preserve">Abstract only</t>
  </si>
  <si>
    <t xml:space="preserve">Charted from abstract only (abstract supplied by author). Wildfire detection; signing at a Python gateway; consensus of 2+ nodes within 500 m. No TEE. | AI-suggested, confirm. Secured sensor framework</t>
  </si>
  <si>
    <t xml:space="preserve">Supplementary (abstract only)</t>
  </si>
  <si>
    <t xml:space="preserve">Charted from abstract only. Vital-sign kit includes a gas sensor (not breath). Low technical depth. | AI-suggested, confirm. Crypto for health IoT; low technical depth?</t>
  </si>
  <si>
    <t xml:space="preserve">Full text read (IEEE Sensors J. 23(20), 2023). EHD nano-SnO2 particle/fiber sensors; ethanol and formaldehyde at different temperatures; reliability 99.21%, uniqueness 49.37%, NIST pass. Gas authentication scheme distinguishes two reducing gases by PUF-response difference (min HD 57.1% between gases vs max 3.9% across 4.5-4.7 V): a selectivity aid, not authentication of samples or readings. Humidity not tested. Elements: D. | AI-suggested, confirm. Gas-sensing PUF (IEEE Sensors J. 2023)</t>
  </si>
  <si>
    <t xml:space="preserve">Implemented (per abstract, not verified)</t>
  </si>
  <si>
    <t xml:space="preserve">Charted from abstract only (full text unavailable). Uniqueness 50.02%, randomness 98.83%, reliability 97.21%; ML modeling attacks near 0.5 accuracy for 8 models; resistant to environmental disturbance (per abstract). No data binding, TEE, or health use stated. | AI-suggested, confirm. Gas-sensor PUF (Measurement 2026)</t>
  </si>
  <si>
    <t xml:space="preserve">Full text read (Multimed. Tools Appl., 2024). Raspberry Pi client; datasets: driver stress (ECG, HR, GSR, RR) and UCI gas sensors for home activity monitoring, but only the temperature readings of the gas dataset were used, so no chemical-sensor data (reclassified from Y). Per-message Poly1305 MAC with 128-bit nonce; reports energy and processing-time reductions. No device-side protection, attestation, calibration or model binding. No elements coded. | AI-suggested, confirm. Secure IoT data stream</t>
  </si>
  <si>
    <t xml:space="preserve">Full text read. 94 participants; gender predicted from breath at 87.5% accuracy, BMI MAE ~4 kg/m2. Shows breath data reveal personal attributes. Notes sensor drift and need for encryption. | AI-suggested, confirm. Breath as biometric -&gt; re-identification risk</t>
  </si>
  <si>
    <t xml:space="preserve">Charted from abstract only. 30 participants, 3 sessions on different days. Ion mobility spectrometry, not chemiresistive. | AI-suggested, confirm. Exhaled-breath identification -&gt; re-identification risk</t>
  </si>
  <si>
    <t xml:space="preserve">Charted from abstract only. Suggests e-health use. | AI-suggested, confirm. Trusted auth for WSN, e-health use</t>
  </si>
  <si>
    <t xml:space="preserve">Full text read (Sensors 22(12), 4340, 2022; rechecked 2026-10-17). LPC55S69 (TrustZone-M), FreeRTOS. Attests all readable memory incl. memory-mapped peripheral registers; verifier checks I2C peripheral CFG/INTENSET/CLKDIV and BME280 configuration bits in ctrl_hum (0xF2), ctrl_meas (0xF4) and config (0xF5), i.e. acquisition settings (MITC field A). ADC configuration discussed as a risk but not verified; analog water-level sensor not attested; readings (dynamic registers) excluded. ~3.94 s combined attestation at 806,400 baud. | AI-suggested, confirm. ERAMO: attests peripheral memory on TrustZone MCU</t>
  </si>
  <si>
    <t xml:space="preserve">Full text read (HASP 2021 workshop, ACM). Main device: PRINCE glitch PUF as root of trust for RISC-V Keystone on FPGA; remote attestation of device key, security-monitor hash and enclave hash. Sensor: CMOS image-sensor PUF simulated on Raspberry Pi over Ethernet; per-image MAC (CMAC/HMAC) verified in enclave, ~18-19 ms per 640x480 image. Elements: D, F, H(R). Confidentiality out of scope; no freshness/replay protection for readings stated; no calibration or model binding. | AI-suggested, confirm. PUF root of trust + MAC for IoT sensing</t>
  </si>
  <si>
    <t xml:space="preserve">Full text read (RAID 2019). Siemens S7-1200 PLC + robot arm testbed. F: hash over PLC logic code blocks. N: fresh verifier nonce in each attestation. D: verifier identifies each PLC and physical system by its process noise signature (PUF-like). Detects manipulated logic and replayed/spoofed sensor readings with 97% accuracy. Sensor readings serve as attestation evidence only; routine readings are not digested or signed (H(R) not coded). No calibration, model or acquisition-config binding. Elements: D, F, N. | AI-suggested, confirm. Binds attestation to physical sensor traces</t>
  </si>
  <si>
    <t xml:space="preserve">Attestation without TEE</t>
  </si>
  <si>
    <t xml:space="preserve">Charted from abstract only. Problem analysis for TEE-based sensing and actuation. | AI-suggested, confirm. Which device holds the RoT; sensing</t>
  </si>
  <si>
    <t xml:space="preserve">Charted from abstract only (abstract supplied by author). Proven secure under CDH in the random oracle model. | AI-suggested, confirm. </t>
  </si>
  <si>
    <t xml:space="preserve">Charted from abstract only. Uses inconsistent medical sensor readings as compromise signal; 50 patient-sensors, 2.6 s attestation (simulation). | AI-suggested, confirm. IoMT attestation using medical sensor readings; SMART-based</t>
  </si>
  <si>
    <t xml:space="preserve">Charted from abstract only. Simulation (YAFS); ECG/audio tasks. | AI-suggested, confirm. TEE + RATS attestation on fog nodes for remote patient monitoring (simulation)</t>
  </si>
  <si>
    <t xml:space="preserve">Design only (no evaluation)</t>
  </si>
  <si>
    <t xml:space="preserve">Full text read (AHFE/IHSI 2026, open access; read via web reader). UAV infrastructure inspection. Pre-flight remote attestation of enclave measurement (F); mission key provisioned after attestation; results encrypted and signed with enclave key bound to attested instance (result signing, not per-reading digest). Autoencoder in enclave flags anomalous frames (no architecture, threshold or accuracy given). No freshness/nonce, model version, calibration or device identity. Design with qualitative security analysis only; no implementation or quantitative evaluation. Elements: F. | AI-suggested, confirm. TEE edge analytics of sensor data</t>
  </si>
  <si>
    <t xml:space="preserve">Charted from abstract only (abstract supplied by author).  | AI-suggested, confirm. </t>
  </si>
  <si>
    <t xml:space="preserve">Full text read. arXiv version; MSP430/AVR; low overhead. Check published version (APEX, USENIX Security 2020) for citation. | AI-suggested, confirm. VAPE: authenticated sensing on low-end MCUs</t>
  </si>
  <si>
    <t xml:space="preserve">Design only (evaluation planned)</t>
  </si>
  <si>
    <t xml:space="preserve">Full text read (arXiv:2509.14657v3, Nov 2025; published Springer 2026). Raspberry Pi 4 + TPM 2.0 prototype design. F: boot stages measured into TPM PCRs, quote verified by server. M: model updates signed and version-controlled; rollback here means redeploying an earlier trusted version, not anti-rollback protection. Feature hashes and E2E encryption protect data in transit (not coded as per-reading digest). No freshness, calibration or acquisition-config binding. Evaluation planned only, no results. Elements: F, M. | AI-suggested, confirm. Sensor ML device threat model</t>
  </si>
  <si>
    <t xml:space="preserve">Full text read. PSoC64, DPS310 pressure sensor; 1.09x vs hardware-HSM baseline. No calibration handling. | AI-suggested, confirm. HSM + TEE secure sensor</t>
  </si>
  <si>
    <t xml:space="preserve">Full text read (author manuscript, Computer Communications 2023). Extended version of S0328. Apps deposit sensor data (e.g., geolocation, blood pressure) in a TEE-protected middleware that answers noisy statistical queries. No signing, attestation, freshness, calibration or model binding. No elements coded. | AI-suggested, confirm. </t>
  </si>
  <si>
    <t xml:space="preserve">Full text read. Read via author dissertation chapter. Camera/mic; Nexus 5, ODROID. | AI-suggested, confirm. </t>
  </si>
  <si>
    <t xml:space="preserve">Charted from abstract only (abstract supplied by author). BAN logic, AVISPA, NS3 simulation. | AI-suggested, confirm. SGX for WSN auth</t>
  </si>
  <si>
    <t xml:space="preserve">Charted from abstract only (abstract supplied by author). Lower memory footprint, small handshake-time penalty. | AI-suggested, confirm. TEE sensor nodes</t>
  </si>
  <si>
    <t xml:space="preserve">Full text read (arXiv:2110.15869, author version of ICSOC 2021, LNCS 13121). Sensor nodes sign measurements with a sensor key pair; gateway verifies signatures inside the enclave or proof and proves correct transformation (filtering, aggregation). SGX enclave verified by remote attestation. Proof-of-concept on smart-meter data; enclave pre-processing orders of magnitude faster than zkSNARKs; on-chain verification cost in gas. Pre-processing is generic data reduction; calibration not mentioned. Elements: D, F, H(R). | AI-suggested, confirm. TEE pre-processing of sensor data (relevant to calibration stage)</t>
  </si>
  <si>
    <t xml:space="preserve">Charted from abstract only (abstract supplied by author). Handshake penalty cut from ~3.5 to ~1.5 ms. Extends S0333 (different handshake mode). | AI-suggested, confirm. TEE sensor nodes</t>
  </si>
  <si>
    <t xml:space="preserve">Full text read. ZCU104; worst-case 4-bit error in 132,000 regenerations; MAC overhead ~0.017%/frame. Closest precedent to MITC sensor-reading binding; tested in one environment only. | AI-suggested, confirm. Sensor PUF + OP-TEE: closest analog to MITC sensor binding</t>
  </si>
  <si>
    <t xml:space="preserve">Full text read (ACM CPSIoTSec 2025 workshop). Polarfire Icicle FPGA testbench with an ML accelerator (VTA) and an end-to-end inference application; stock RISC-V, software only. Peripheral isolation; enclaves can produce attestation reports but no per-reading evidence, freshness, calibration or model binding. No calibration mentioned. No elements coded (isolation, not evidence binding). | AI-suggested, confirm. Confidential peripheral I/O</t>
  </si>
  <si>
    <t xml:space="preserve">Full text read (ACM AutoSec 2020 workshop, 4 pages). i.MX6 Cortex-A9; CSU/TZASC restrict GPS UART to secure world; ~0.686 ms per 7.91-byte poll. Only sensor reading implemented; processing, packet encapsulation and transmission are future work. No signing, digest, freshness, attestation, calibration or model binding. Hardware attacks such as GPS spoofing out of scope. No elements coded (isolation, not evidence binding). | AI-suggested, confirm. </t>
  </si>
  <si>
    <t xml:space="preserve">Full text read (NDSS AutoSec 2022 workshop, WIP). Intel SGX with SGX-Step interrupts; ROS with a simulated Jackal robot in Gazebo; timestamp error grows with interrupt interval and causes obstacle-localization errors. Shows TEE memory and trusted-clock protection do not ensure timestamp integrity; countermeasures left open. Attack study; no elements coded. | AI-suggested, confirm. Attack on TEE-protected sensing</t>
  </si>
  <si>
    <t xml:space="preserve">Charted from abstract only. Abstract read on CPS-VO. | AI-suggested, confirm. Trusted sensor virtualization</t>
  </si>
  <si>
    <t xml:space="preserve">Prototype with simulated sensor; TEE part not evidently implemented</t>
  </si>
  <si>
    <t xml:space="preserve">Full text read (IEEE COINS 2023). D: device key generated in secure world, X.509 certificate from manufacturer PKI. H(R): readings signed inside TEE and used as authenticated SNARK inputs. Implementation on a laptop with a simulated temperature sensor; partial Raspberry Pi 3 port (proof generation ~60 ms, verification ~230 ms); TEE part not evidently implemented. No freshness/nonce, firmware attestation, calibration or model binding. Elements: D, H(R). | AI-suggested, confirm. Cryptographic proof of sensor processing</t>
  </si>
  <si>
    <t xml:space="preserve">Charted from abstract only.  | AI-suggested, confirm. </t>
  </si>
  <si>
    <t xml:space="preserve">Charted from abstract only (abstract supplied by author). No significant performance penalty. | AI-suggested, confirm. TEE processing of sensor data for auth</t>
  </si>
  <si>
    <t xml:space="preserve">Charted from abstract only.  | AI-suggested, confirm. Private-by-design sensor platform</t>
  </si>
  <si>
    <t xml:space="preserve">Charted from abstract only. Abstract read on CPS-VO; low overhead. | AI-suggested, confirm. Hardware-isolated sensing</t>
  </si>
  <si>
    <t xml:space="preserve">Charted from abstract only (abstract supplied by author). Simulated sensor network; proposes PUF-encrypted raw data as future work. | AI-suggested, confirm. Confidential FL for sensing</t>
  </si>
  <si>
    <t xml:space="preserve">Full text read (IEEE PerCom Workshops 2025). Classifier in an Intel SGX enclave (LibraryOS/WASM); single-node blockchain (ContractBox) as tamper-evident storage recording model data, input (or its hash), and result; smart contract remotely attests the classifier enclave. Sensors assumed trusted (out of scope). About 35% overhead. Elements: F, M, H(R); M covers model identity bound to the result, not versioning or rollback policy. | AI-suggested, confirm. </t>
  </si>
  <si>
    <t xml:space="preserve">Full text read. Sensors include CO2 (gas, non-chemiresistive). Attack model lists calibration deviations, but no calibration protection is described. TEE does not guarantee reading correctness. | AI-suggested, confirm. TEE-enabled environmental sensing</t>
  </si>
  <si>
    <t xml:space="preserve">Full text read (DBSec 2024, LNCS 14901, pp. 71-91). Trigger-action IoT automation platform in an Intel SGX enclave in an untrusted cloud, devices assumed to have Arm TrustZone, MQTT transport. Memory access patterns reveal device type (~95%) and values such as temperature (~85%); oblivious execution and padding reduce these to &lt;=27% and &lt;=19%. No elements coded (attack and confidentiality defense). | AI-suggested, confirm. End-to-end confidential computing for IoT data</t>
  </si>
  <si>
    <t xml:space="preserve">Charted from abstract only (abstract supplied by author). Extended version of S0347. | AI-suggested, confirm. </t>
  </si>
  <si>
    <t xml:space="preserve">Charted from abstract only (abstract supplied by author). +16 ms vs unprotected; cryptographic alternatives orders of magnitude slower. | AI-suggested, confirm. </t>
  </si>
  <si>
    <t xml:space="preserve">Charted from abstract only (abstract supplied by author). Architecture proposal; no evaluation reported in abstract. | AI-suggested, confirm. </t>
  </si>
  <si>
    <t xml:space="preserve">Full text read (IEEE Sensors J. 24(10), 2024). ZnO-SnO2 sensors with reconfigurable array and reconstruction strategy; ethanol 200-800 ppm; uniqueness 52.4%, randomness 99.1%, reliability 98.17%; BER at 4.5 V and 500 ppm; reliability over 20 days. Humidity not tested. No protocol, reading or calibration binding. Elements: D. | AI-suggested, confirm. Gas-sensor PUF (IEEE Sensors J. 2024)</t>
  </si>
  <si>
    <t xml:space="preserve">Full text read (IEEE Sensors J. 26(14), 2026). Sixteen WO2.90 sensors, multidimensional resistive arbitration, 10,000 CRPs; uniqueness 50.02%, average BER 1.45%; reliability &gt;97% across supply voltage, worst 96.1% over 20-80 C, tracked over 100 days of aging; NIST SP 800-22 pass, min-entropy 127.84/128 bits; LR/SVM/RF/MLP modeling attacks near 50%. Humidity not tested. No protocol, reading or calibration binding. Elements: D. | AI-suggested, confirm. Gas-sensor PUF (IEEE Sensors J. 2026)</t>
  </si>
  <si>
    <t xml:space="preserve">Full text read (IEEE ASICON 2023, 4 pages). Eight ZnO-SnO2 sensors, three per cluster, median averaging filter + multi-bit balancing, 128-bit response; ethanol at several concentrations and operating voltages; uniqueness 50.93%, randomness 97.92%, reliability 98.05%. Humidity not tested. No protocol, reading or calibration binding. Elements: D. | AI-suggested, confirm. Gas-sensor PUF (ASICON 2023)</t>
  </si>
  <si>
    <t xml:space="preserve">Full text read (Micromachines 2026, 17(5), 597). Ethanol 500-600 ppm stimulus; entropy &gt;0.99, uniqueness 49.8%, NIST pass; reliability &gt;96% only under fixed laboratory conditions; humidity effects and ML modeling attacks not evaluated (future work). No reading, calibration or protocol binding. Elements: D. | AI-suggested, confirm. Gas-sensor PUF (Micromachines 2026)</t>
  </si>
  <si>
    <t xml:space="preserve">Totals</t>
  </si>
  <si>
    <t xml:space="preserve">Max elements per study</t>
  </si>
  <si>
    <t xml:space="preserve">Studies with chemical-sensor data</t>
  </si>
  <si>
    <t xml:space="preserve">Charted from abstract only</t>
  </si>
  <si>
    <t xml:space="preserve">Evidence levels (Sec. III-C, V)</t>
  </si>
  <si>
    <t xml:space="preserve">Primary (full text)</t>
  </si>
  <si>
    <t xml:space="preserve">max elements</t>
  </si>
  <si>
    <t xml:space="preserve">studies coding calibration (C)</t>
  </si>
  <si>
    <t xml:space="preserve">with chemical-sensor data</t>
  </si>
  <si>
    <t xml:space="preserve">PRISMA-ScR flow numbers</t>
  </si>
  <si>
    <t xml:space="preserve">Identification</t>
  </si>
  <si>
    <t xml:space="preserve">Records from databases (sum of Search log results)</t>
  </si>
  <si>
    <t xml:space="preserve">From Search log.</t>
  </si>
  <si>
    <t xml:space="preserve">Records from other sources (web check, citation tracking)</t>
  </si>
  <si>
    <t xml:space="preserve">Rows in Screening whose Source starts with "Other".</t>
  </si>
  <si>
    <t xml:space="preserve">Records loaded into Screening sheet</t>
  </si>
  <si>
    <t xml:space="preserve">Should equal the two rows above.</t>
  </si>
  <si>
    <t xml:space="preserve">Check: loaded vs identified</t>
  </si>
  <si>
    <t xml:space="preserve">MISMATCH means an export is missing or extra rows were added.</t>
  </si>
  <si>
    <t xml:space="preserve">Duplicates removed</t>
  </si>
  <si>
    <t xml:space="preserve">Rows with a Record ID in "Duplicate of".</t>
  </si>
  <si>
    <t xml:space="preserve">Screening</t>
  </si>
  <si>
    <t xml:space="preserve">Records screened (title/abstract)</t>
  </si>
  <si>
    <t xml:space="preserve">Records excluded at title/abstract</t>
  </si>
  <si>
    <t xml:space="preserve">Duplicates are counted above, not here.</t>
  </si>
  <si>
    <t xml:space="preserve">   of which excluded by the narrower rule (E8)</t>
  </si>
  <si>
    <t xml:space="preserve">Reported as a protocol amendment in Section III.</t>
  </si>
  <si>
    <t xml:space="preserve">Records not yet screened</t>
  </si>
  <si>
    <t xml:space="preserve">Should reach 0 before reporting.</t>
  </si>
  <si>
    <t xml:space="preserve">Full texts sought (Include + Maybe at T/A)</t>
  </si>
  <si>
    <t xml:space="preserve">Full texts excluded, by reason</t>
  </si>
  <si>
    <t xml:space="preserve">   E1 Off topic</t>
  </si>
  <si>
    <t xml:space="preserve">   E2 No technical evaluation</t>
  </si>
  <si>
    <t xml:space="preserve">   E3 Not English</t>
  </si>
  <si>
    <t xml:space="preserve">   E4 Duplicate/earlier version</t>
  </si>
  <si>
    <t xml:space="preserve">   E5 Full text unavailable</t>
  </si>
  <si>
    <t xml:space="preserve">   E6 Outside 2012–2026</t>
  </si>
  <si>
    <t xml:space="preserve">   E7 Not peer-reviewed</t>
  </si>
  <si>
    <t xml:space="preserve">   E8 No sensor-data protection</t>
  </si>
  <si>
    <t xml:space="preserve">   Total excluded at full text</t>
  </si>
  <si>
    <t xml:space="preserve">Included</t>
  </si>
  <si>
    <t xml:space="preserve">Studies included in review</t>
  </si>
  <si>
    <t xml:space="preserve">   of which charted from abstract only</t>
  </si>
  <si>
    <t xml:space="preserve">Full text unavailable; report this number in Section III.</t>
  </si>
  <si>
    <t xml:space="preserve">   of which used chemical-sensor data</t>
  </si>
  <si>
    <t xml:space="preserve">Supports or limits the paper's gap claim.</t>
  </si>
  <si>
    <t xml:space="preserve">Check: sought = excluded + included</t>
  </si>
  <si>
    <t xml:space="preserve">Full-text vs abstract assessment (matches Fig. 2)</t>
  </si>
  <si>
    <t xml:space="preserve">Reports assessed in full text</t>
  </si>
  <si>
    <t xml:space="preserve">Notes column contains "Full text read".</t>
  </si>
  <si>
    <t xml:space="preserve">Reports assessed on abstract only (full text not retrieved)</t>
  </si>
  <si>
    <t xml:space="preserve">Sought minus full text.</t>
  </si>
  <si>
    <t xml:space="preserve">Included studies charted from full text</t>
  </si>
  <si>
    <t xml:space="preserve">Excluded at eligibility after full-text reading</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</si>
</sst>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2"/>
      <name val="Arial"/>
      <family val="2"/>
      <charset val="1"/>
    </font>
    <font>
      <sz val="10"/>
      <name val="Arial"/>
      <family val="2"/>
      <charset val="1"/>
    </font>
    <font>
      <b val="true"/>
      <sz val="9"/>
      <color rgb="FFFFFFFF"/>
      <name val="Arial"/>
      <family val="2"/>
      <charset val="1"/>
    </font>
    <font>
      <sz val="9"/>
      <color rgb="FF000000"/>
      <name val="Arial"/>
      <family val="2"/>
      <charset val="1"/>
    </font>
    <font>
      <b val="true"/>
      <sz val="11"/>
      <color rgb="FFFFFFFF"/>
      <name val="Arial"/>
      <family val="2"/>
      <charset val="1"/>
    </font>
    <font>
      <sz val="9"/>
      <name val="Arial"/>
      <family val="2"/>
      <charset val="1"/>
    </font>
    <font>
      <sz val="9"/>
      <name val="Noto Sans CJK SC"/>
      <family val="2"/>
      <charset val="1"/>
    </font>
    <font>
      <sz val="9"/>
      <name val="Noto Sans CJK SC"/>
      <family val="2"/>
    </font>
    <font>
      <b val="true"/>
      <sz val="11"/>
      <name val="Arial"/>
      <family val="2"/>
      <charset val="1"/>
    </font>
    <font>
      <b val="true"/>
      <sz val="10"/>
      <name val="Arial"/>
      <family val="2"/>
      <charset val="1"/>
    </font>
    <font>
      <i val="true"/>
      <sz val="9"/>
      <name val="Arial"/>
      <family val="2"/>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8" activeCellId="0" sqref="A8"/>
    </sheetView>
  </sheetViews>
  <sheetFormatPr defaultColWidth="8.66796875" defaultRowHeight="15" zeroHeight="false" outlineLevelRow="0" outlineLevelCol="0"/>
  <cols>
    <col collapsed="false" customWidth="true" hidden="false" outlineLevel="0" max="1" min="1" style="0" width="120"/>
  </cols>
  <sheetData>
    <row r="1" customFormat="false" ht="33.75" hidden="false" customHeight="true" outlineLevel="0" collapsed="false">
      <c r="A1" s="1" t="s">
        <v>0</v>
      </c>
    </row>
    <row r="2" customFormat="false" ht="15" hidden="false" customHeight="false" outlineLevel="0" collapsed="false">
      <c r="A2" s="2" t="s">
        <v>1</v>
      </c>
    </row>
    <row r="3" customFormat="false" ht="42" hidden="false" customHeight="true" outlineLevel="0" collapsed="false">
      <c r="A3" s="2" t="s">
        <v>2</v>
      </c>
    </row>
    <row r="4" customFormat="false" ht="27.75" hidden="false" customHeight="tru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27.75" hidden="false" customHeight="true" outlineLevel="0" collapsed="false">
      <c r="A7" s="2" t="s">
        <v>6</v>
      </c>
    </row>
    <row r="8" customFormat="false" ht="42" hidden="false" customHeight="true" outlineLevel="0" collapsed="false">
      <c r="A8" s="2" t="s">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B1" colorId="64" zoomScale="130" zoomScaleNormal="13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40"/>
    <col collapsed="false" customWidth="true" hidden="false" outlineLevel="0" max="4" min="4" style="0" width="60"/>
  </cols>
  <sheetData>
    <row r="1" customFormat="false" ht="15" hidden="false" customHeight="false" outlineLevel="0" collapsed="false">
      <c r="A1" s="3" t="s">
        <v>8</v>
      </c>
      <c r="B1" s="3" t="s">
        <v>9</v>
      </c>
      <c r="C1" s="3" t="s">
        <v>10</v>
      </c>
      <c r="D1" s="3" t="s">
        <v>11</v>
      </c>
    </row>
    <row r="2" customFormat="false" ht="25.5" hidden="false" customHeight="true" outlineLevel="0" collapsed="false">
      <c r="A2" s="4" t="s">
        <v>12</v>
      </c>
      <c r="B2" s="4" t="s">
        <v>13</v>
      </c>
      <c r="C2" s="4" t="s">
        <v>14</v>
      </c>
      <c r="D2" s="4" t="s">
        <v>15</v>
      </c>
    </row>
    <row r="3" customFormat="false" ht="25.5" hidden="false" customHeight="true" outlineLevel="0" collapsed="false">
      <c r="A3" s="4" t="s">
        <v>16</v>
      </c>
      <c r="B3" s="4" t="s">
        <v>17</v>
      </c>
      <c r="C3" s="4" t="s">
        <v>18</v>
      </c>
      <c r="D3" s="4" t="s">
        <v>19</v>
      </c>
    </row>
    <row r="4" customFormat="false" ht="25.5" hidden="false" customHeight="true" outlineLevel="0" collapsed="false">
      <c r="A4" s="4" t="s">
        <v>20</v>
      </c>
      <c r="B4" s="4" t="s">
        <v>21</v>
      </c>
      <c r="C4" s="4" t="s">
        <v>22</v>
      </c>
      <c r="D4" s="4" t="s">
        <v>23</v>
      </c>
    </row>
    <row r="5" customFormat="false" ht="25.5" hidden="false" customHeight="true" outlineLevel="0" collapsed="false">
      <c r="A5" s="4" t="s">
        <v>24</v>
      </c>
      <c r="B5" s="4" t="s">
        <v>25</v>
      </c>
      <c r="C5" s="4" t="s">
        <v>26</v>
      </c>
      <c r="D5" s="4" t="s">
        <v>27</v>
      </c>
    </row>
    <row r="6" customFormat="false" ht="39" hidden="false" customHeight="true" outlineLevel="0" collapsed="false">
      <c r="A6" s="4" t="s">
        <v>28</v>
      </c>
      <c r="B6" s="4" t="s">
        <v>29</v>
      </c>
      <c r="C6" s="4" t="s">
        <v>30</v>
      </c>
      <c r="D6" s="4" t="s">
        <v>31</v>
      </c>
    </row>
    <row r="7" customFormat="false" ht="25.5" hidden="false" customHeight="true" outlineLevel="0" collapsed="false">
      <c r="A7" s="4" t="s">
        <v>32</v>
      </c>
      <c r="B7" s="4" t="s">
        <v>33</v>
      </c>
      <c r="C7" s="4" t="s">
        <v>34</v>
      </c>
      <c r="D7" s="4" t="s">
        <v>35</v>
      </c>
    </row>
    <row r="8" customFormat="false" ht="25.5" hidden="false" customHeight="true" outlineLevel="0" collapsed="false">
      <c r="A8" s="4" t="s">
        <v>36</v>
      </c>
      <c r="B8" s="4" t="s">
        <v>37</v>
      </c>
      <c r="C8" s="4" t="s">
        <v>38</v>
      </c>
      <c r="D8" s="4" t="s">
        <v>39</v>
      </c>
    </row>
    <row r="9" customFormat="false" ht="39" hidden="false" customHeight="true" outlineLevel="0" collapsed="false">
      <c r="A9" s="4" t="s">
        <v>40</v>
      </c>
      <c r="B9" s="4" t="s">
        <v>41</v>
      </c>
      <c r="C9" s="4"/>
      <c r="D9" s="4"/>
    </row>
    <row r="10" customFormat="false" ht="39" hidden="false" customHeight="true" outlineLevel="0" collapsed="false">
      <c r="A10" s="4" t="s">
        <v>42</v>
      </c>
      <c r="B10" s="4" t="s">
        <v>43</v>
      </c>
      <c r="C10" s="4"/>
      <c r="D10" s="4"/>
    </row>
    <row r="11" customFormat="false" ht="39" hidden="false" customHeight="true" outlineLevel="0" collapsed="false">
      <c r="A11" s="4" t="s">
        <v>44</v>
      </c>
      <c r="B11" s="4" t="s">
        <v>45</v>
      </c>
      <c r="C11" s="4"/>
      <c r="D11"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B1" colorId="64" zoomScale="130" zoomScaleNormal="130" zoomScalePageLayoutView="100" workbookViewId="0">
      <pane xSplit="0" ySplit="1" topLeftCell="A2" activePane="bottomLeft" state="frozen"/>
      <selection pane="topLeft" activeCell="B1" activeCellId="0" sqref="B1"/>
      <selection pane="bottomLeft" activeCell="F1" activeCellId="0" sqref="F1"/>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39.51"/>
    <col collapsed="false" customWidth="true" hidden="false" outlineLevel="0" max="3" min="3" style="0" width="80"/>
    <col collapsed="false" customWidth="true" hidden="false" outlineLevel="0" max="4" min="4" style="0" width="14"/>
    <col collapsed="false" customWidth="true" hidden="false" outlineLevel="0" max="5" min="5" style="0" width="11"/>
  </cols>
  <sheetData>
    <row r="1" customFormat="false" ht="45.75" hidden="false" customHeight="true" outlineLevel="0" collapsed="false">
      <c r="A1" s="5" t="s">
        <v>46</v>
      </c>
      <c r="B1" s="5" t="s">
        <v>47</v>
      </c>
      <c r="C1" s="5" t="s">
        <v>48</v>
      </c>
      <c r="D1" s="5" t="s">
        <v>49</v>
      </c>
      <c r="E1" s="5" t="s">
        <v>50</v>
      </c>
    </row>
    <row r="2" customFormat="false" ht="15" hidden="false" customHeight="false" outlineLevel="0" collapsed="false">
      <c r="A2" s="6" t="s">
        <v>51</v>
      </c>
      <c r="B2" s="6" t="s">
        <v>52</v>
      </c>
      <c r="C2" s="6" t="s">
        <v>53</v>
      </c>
      <c r="D2" s="6" t="s">
        <v>54</v>
      </c>
      <c r="E2" s="6" t="n">
        <v>1</v>
      </c>
    </row>
    <row r="3" customFormat="false" ht="15" hidden="false" customHeight="false" outlineLevel="0" collapsed="false">
      <c r="A3" s="6" t="s">
        <v>55</v>
      </c>
      <c r="B3" s="6" t="s">
        <v>52</v>
      </c>
      <c r="C3" s="6" t="s">
        <v>56</v>
      </c>
      <c r="D3" s="6" t="s">
        <v>54</v>
      </c>
      <c r="E3" s="6" t="n">
        <v>16</v>
      </c>
    </row>
    <row r="4" customFormat="false" ht="15" hidden="false" customHeight="false" outlineLevel="0" collapsed="false">
      <c r="A4" s="6" t="s">
        <v>57</v>
      </c>
      <c r="B4" s="6" t="s">
        <v>52</v>
      </c>
      <c r="C4" s="6" t="s">
        <v>58</v>
      </c>
      <c r="D4" s="6" t="s">
        <v>54</v>
      </c>
      <c r="E4" s="6" t="n">
        <v>71</v>
      </c>
    </row>
    <row r="5" customFormat="false" ht="15" hidden="false" customHeight="false" outlineLevel="0" collapsed="false">
      <c r="A5" s="6" t="s">
        <v>59</v>
      </c>
      <c r="B5" s="6" t="s">
        <v>52</v>
      </c>
      <c r="C5" s="6" t="s">
        <v>60</v>
      </c>
      <c r="D5" s="6" t="s">
        <v>54</v>
      </c>
      <c r="E5" s="6" t="n">
        <v>182</v>
      </c>
    </row>
    <row r="6" customFormat="false" ht="15" hidden="false" customHeight="false" outlineLevel="0" collapsed="false">
      <c r="A6" s="6" t="s">
        <v>61</v>
      </c>
      <c r="B6" s="6" t="s">
        <v>52</v>
      </c>
      <c r="C6" s="6" t="s">
        <v>62</v>
      </c>
      <c r="D6" s="6" t="s">
        <v>54</v>
      </c>
      <c r="E6" s="6" t="n">
        <v>1</v>
      </c>
    </row>
    <row r="7" customFormat="false" ht="15" hidden="false" customHeight="false" outlineLevel="0" collapsed="false">
      <c r="A7" s="6" t="s">
        <v>63</v>
      </c>
      <c r="B7" s="6" t="s">
        <v>52</v>
      </c>
      <c r="C7" s="6" t="s">
        <v>64</v>
      </c>
      <c r="D7" s="6" t="s">
        <v>54</v>
      </c>
      <c r="E7" s="6" t="n">
        <v>54</v>
      </c>
    </row>
    <row r="8" customFormat="false" ht="15" hidden="false" customHeight="false" outlineLevel="0" collapsed="false">
      <c r="A8" s="6" t="s">
        <v>65</v>
      </c>
      <c r="B8" s="6" t="s">
        <v>52</v>
      </c>
      <c r="C8" s="6" t="s">
        <v>66</v>
      </c>
      <c r="D8" s="6" t="s">
        <v>54</v>
      </c>
      <c r="E8" s="6" t="n">
        <v>84</v>
      </c>
    </row>
    <row r="9" customFormat="false" ht="15" hidden="false" customHeight="false" outlineLevel="0" collapsed="false">
      <c r="A9" s="6" t="s">
        <v>67</v>
      </c>
      <c r="B9" s="6" t="s">
        <v>52</v>
      </c>
      <c r="C9" s="6" t="s">
        <v>68</v>
      </c>
      <c r="D9" s="6" t="s">
        <v>54</v>
      </c>
      <c r="E9" s="6"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8"/>
    <col collapsed="false" customWidth="true" hidden="false" outlineLevel="0" max="2" min="2" style="0" width="100"/>
  </cols>
  <sheetData>
    <row r="1" customFormat="false" ht="15.75" hidden="false" customHeight="true" outlineLevel="0" collapsed="false">
      <c r="A1" s="5" t="s">
        <v>69</v>
      </c>
      <c r="B1" s="5" t="s">
        <v>70</v>
      </c>
    </row>
    <row r="2" customFormat="false" ht="15" hidden="false" customHeight="false" outlineLevel="0" collapsed="false">
      <c r="A2" s="6" t="s">
        <v>71</v>
      </c>
      <c r="B2" s="6" t="s">
        <v>72</v>
      </c>
    </row>
    <row r="3" customFormat="false" ht="15" hidden="false" customHeight="false" outlineLevel="0" collapsed="false">
      <c r="A3" s="6" t="s">
        <v>73</v>
      </c>
      <c r="B3" s="6" t="s">
        <v>74</v>
      </c>
    </row>
    <row r="4" customFormat="false" ht="15" hidden="false" customHeight="false" outlineLevel="0" collapsed="false">
      <c r="A4" s="6" t="s">
        <v>75</v>
      </c>
      <c r="B4" s="6" t="s">
        <v>76</v>
      </c>
    </row>
    <row r="5" customFormat="false" ht="15" hidden="false" customHeight="false" outlineLevel="0" collapsed="false">
      <c r="A5" s="6" t="s">
        <v>77</v>
      </c>
      <c r="B5" s="6" t="s">
        <v>78</v>
      </c>
    </row>
    <row r="6" customFormat="false" ht="15" hidden="false" customHeight="false" outlineLevel="0" collapsed="false">
      <c r="A6" s="6" t="s">
        <v>79</v>
      </c>
      <c r="B6" s="6" t="s">
        <v>80</v>
      </c>
    </row>
    <row r="7" customFormat="false" ht="15" hidden="false" customHeight="false" outlineLevel="0" collapsed="false">
      <c r="A7" s="6" t="s">
        <v>81</v>
      </c>
      <c r="B7" s="6" t="s">
        <v>82</v>
      </c>
    </row>
    <row r="8" customFormat="false" ht="15" hidden="false" customHeight="false" outlineLevel="0" collapsed="false">
      <c r="A8" s="6" t="s">
        <v>83</v>
      </c>
      <c r="B8" s="6" t="s">
        <v>84</v>
      </c>
    </row>
    <row r="9" customFormat="false" ht="15" hidden="false" customHeight="false" outlineLevel="0" collapsed="false">
      <c r="A9" s="6" t="s">
        <v>85</v>
      </c>
      <c r="B9" s="6" t="s">
        <v>86</v>
      </c>
    </row>
    <row r="10" customFormat="false" ht="15" hidden="false" customHeight="false" outlineLevel="0" collapsed="false">
      <c r="A10" s="6" t="s">
        <v>87</v>
      </c>
      <c r="B10" s="6" t="s">
        <v>88</v>
      </c>
    </row>
    <row r="11" customFormat="false" ht="15" hidden="false" customHeight="false" outlineLevel="0" collapsed="false">
      <c r="A11" s="6" t="s">
        <v>89</v>
      </c>
      <c r="B11" s="6" t="s">
        <v>90</v>
      </c>
    </row>
    <row r="12" customFormat="false" ht="15" hidden="false" customHeight="false" outlineLevel="0" collapsed="false">
      <c r="A12" s="6" t="s">
        <v>91</v>
      </c>
      <c r="B12" s="6" t="s">
        <v>92</v>
      </c>
    </row>
    <row r="13" customFormat="false" ht="15" hidden="false" customHeight="false" outlineLevel="0" collapsed="false">
      <c r="A13" s="6" t="s">
        <v>93</v>
      </c>
      <c r="B13" s="6"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V18" activeCellId="0" sqref="V18"/>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9"/>
    <col collapsed="false" customWidth="true" hidden="false" outlineLevel="0" max="4" min="4" style="0" width="46"/>
    <col collapsed="false" customWidth="true" hidden="false" outlineLevel="0" max="5" min="5" style="0" width="26"/>
    <col collapsed="false" customWidth="true" hidden="false" outlineLevel="0" max="6" min="6" style="0" width="7"/>
    <col collapsed="false" customWidth="true" hidden="false" outlineLevel="0" max="7" min="7" style="0" width="26"/>
    <col collapsed="false" customWidth="true" hidden="false" outlineLevel="0" max="8" min="8" style="0" width="24"/>
    <col collapsed="false" customWidth="true" hidden="false" outlineLevel="0" max="9" min="9" style="0" width="12"/>
    <col collapsed="false" customWidth="true" hidden="false" outlineLevel="0" max="10" min="10" style="0" width="11"/>
    <col collapsed="false" customWidth="true" hidden="false" outlineLevel="0" max="11" min="11" style="0" width="9"/>
    <col collapsed="false" customWidth="true" hidden="false" outlineLevel="0" max="12" min="12" style="0" width="11"/>
    <col collapsed="false" customWidth="true" hidden="false" outlineLevel="0" max="13" min="13" style="0" width="9"/>
    <col collapsed="false" customWidth="true" hidden="false" outlineLevel="0" max="14" min="14" style="0" width="18"/>
    <col collapsed="false" customWidth="true" hidden="false" outlineLevel="0" max="15" min="15" style="0" width="14"/>
    <col collapsed="false" customWidth="true" hidden="false" outlineLevel="0" max="16" min="16" style="0" width="16"/>
    <col collapsed="false" customWidth="true" hidden="false" outlineLevel="0" max="17" min="17" style="0" width="11"/>
    <col collapsed="false" customWidth="true" hidden="false" outlineLevel="0" max="18" min="18" style="0" width="65.83"/>
    <col collapsed="false" customWidth="true" hidden="false" outlineLevel="0" max="19" min="19" style="0" width="34"/>
  </cols>
  <sheetData>
    <row r="1" customFormat="false" ht="45.75" hidden="false" customHeight="true" outlineLevel="0" collapsed="false">
      <c r="A1" s="5" t="s">
        <v>95</v>
      </c>
      <c r="B1" s="5" t="s">
        <v>96</v>
      </c>
      <c r="C1" s="5" t="s">
        <v>46</v>
      </c>
      <c r="D1" s="5" t="s">
        <v>97</v>
      </c>
      <c r="E1" s="5" t="s">
        <v>98</v>
      </c>
      <c r="F1" s="5" t="s">
        <v>99</v>
      </c>
      <c r="G1" s="5" t="s">
        <v>100</v>
      </c>
      <c r="H1" s="5" t="s">
        <v>101</v>
      </c>
      <c r="I1" s="5" t="s">
        <v>102</v>
      </c>
      <c r="J1" s="5" t="s">
        <v>103</v>
      </c>
      <c r="K1" s="5" t="s">
        <v>104</v>
      </c>
      <c r="L1" s="5" t="s">
        <v>105</v>
      </c>
      <c r="M1" s="5" t="s">
        <v>106</v>
      </c>
      <c r="N1" s="5" t="s">
        <v>107</v>
      </c>
      <c r="O1" s="5" t="s">
        <v>108</v>
      </c>
      <c r="P1" s="5" t="s">
        <v>109</v>
      </c>
      <c r="Q1" s="5" t="s">
        <v>110</v>
      </c>
      <c r="R1" s="5" t="s">
        <v>111</v>
      </c>
      <c r="S1" s="5" t="s">
        <v>112</v>
      </c>
    </row>
    <row r="2" customFormat="false" ht="15" hidden="false" customHeight="false" outlineLevel="0" collapsed="false">
      <c r="A2" s="6" t="s">
        <v>113</v>
      </c>
      <c r="B2" s="6" t="s">
        <v>114</v>
      </c>
      <c r="C2" s="6" t="s">
        <v>115</v>
      </c>
      <c r="D2" s="6" t="s">
        <v>116</v>
      </c>
      <c r="E2" s="6" t="s">
        <v>117</v>
      </c>
      <c r="F2" s="6" t="n">
        <v>2018</v>
      </c>
      <c r="G2" s="6" t="s">
        <v>118</v>
      </c>
      <c r="H2" s="6" t="s">
        <v>119</v>
      </c>
      <c r="I2" s="6"/>
      <c r="J2" s="6" t="s">
        <v>120</v>
      </c>
      <c r="K2" s="6"/>
      <c r="L2" s="6" t="s">
        <v>120</v>
      </c>
      <c r="M2" s="6"/>
      <c r="N2" s="6" t="s">
        <v>121</v>
      </c>
      <c r="O2" s="6" t="s">
        <v>122</v>
      </c>
      <c r="P2" s="6" t="s">
        <v>123</v>
      </c>
      <c r="Q2" s="6" t="s">
        <v>124</v>
      </c>
      <c r="R2" s="6" t="s">
        <v>125</v>
      </c>
      <c r="S2" s="6" t="s">
        <v>126</v>
      </c>
    </row>
    <row r="3" customFormat="false" ht="15" hidden="false" customHeight="false" outlineLevel="0" collapsed="false">
      <c r="A3" s="6" t="s">
        <v>127</v>
      </c>
      <c r="B3" s="6" t="s">
        <v>114</v>
      </c>
      <c r="C3" s="6" t="s">
        <v>115</v>
      </c>
      <c r="D3" s="6" t="s">
        <v>128</v>
      </c>
      <c r="E3" s="6" t="s">
        <v>129</v>
      </c>
      <c r="F3" s="6" t="n">
        <v>2024</v>
      </c>
      <c r="G3" s="6" t="s">
        <v>130</v>
      </c>
      <c r="H3" s="6" t="s">
        <v>131</v>
      </c>
      <c r="I3" s="6" t="s">
        <v>132</v>
      </c>
      <c r="J3" s="6" t="s">
        <v>133</v>
      </c>
      <c r="K3" s="6" t="s">
        <v>83</v>
      </c>
      <c r="L3" s="6"/>
      <c r="M3" s="6"/>
      <c r="N3" s="6" t="s">
        <v>134</v>
      </c>
      <c r="O3" s="6" t="s">
        <v>135</v>
      </c>
      <c r="P3" s="6" t="s">
        <v>136</v>
      </c>
      <c r="Q3" s="6" t="s">
        <v>137</v>
      </c>
      <c r="R3" s="6" t="s">
        <v>138</v>
      </c>
    </row>
    <row r="4" customFormat="false" ht="15" hidden="false" customHeight="false" outlineLevel="0" collapsed="false">
      <c r="A4" s="6" t="s">
        <v>139</v>
      </c>
      <c r="B4" s="6" t="s">
        <v>114</v>
      </c>
      <c r="C4" s="6" t="s">
        <v>115</v>
      </c>
      <c r="D4" s="6" t="s">
        <v>140</v>
      </c>
      <c r="E4" s="6" t="s">
        <v>141</v>
      </c>
      <c r="F4" s="6" t="n">
        <v>2021</v>
      </c>
      <c r="G4" s="6" t="s">
        <v>142</v>
      </c>
      <c r="H4" s="6" t="s">
        <v>143</v>
      </c>
      <c r="I4" s="6"/>
      <c r="J4" s="6" t="s">
        <v>120</v>
      </c>
      <c r="K4" s="6"/>
      <c r="L4" s="6" t="s">
        <v>120</v>
      </c>
      <c r="M4" s="6"/>
      <c r="N4" s="6" t="s">
        <v>144</v>
      </c>
      <c r="O4" s="6" t="s">
        <v>135</v>
      </c>
      <c r="P4" s="6" t="s">
        <v>145</v>
      </c>
      <c r="Q4" s="6" t="s">
        <v>137</v>
      </c>
      <c r="R4" s="6" t="s">
        <v>146</v>
      </c>
      <c r="S4" s="6" t="s">
        <v>126</v>
      </c>
    </row>
    <row r="5" customFormat="false" ht="15" hidden="false" customHeight="false" outlineLevel="0" collapsed="false">
      <c r="A5" s="6" t="s">
        <v>147</v>
      </c>
      <c r="B5" s="6" t="s">
        <v>114</v>
      </c>
      <c r="C5" s="6" t="s">
        <v>115</v>
      </c>
      <c r="D5" s="6" t="s">
        <v>148</v>
      </c>
      <c r="E5" s="6" t="s">
        <v>149</v>
      </c>
      <c r="F5" s="6" t="n">
        <v>2020</v>
      </c>
      <c r="G5" s="6" t="s">
        <v>150</v>
      </c>
      <c r="H5" s="6" t="s">
        <v>151</v>
      </c>
      <c r="I5" s="6"/>
      <c r="J5" s="6" t="s">
        <v>152</v>
      </c>
      <c r="K5" s="6"/>
      <c r="L5" s="6" t="s">
        <v>133</v>
      </c>
      <c r="M5" s="6" t="s">
        <v>89</v>
      </c>
      <c r="N5" s="6" t="s">
        <v>153</v>
      </c>
      <c r="O5" s="6" t="s">
        <v>154</v>
      </c>
      <c r="P5" s="6" t="s">
        <v>155</v>
      </c>
      <c r="Q5" s="6" t="s">
        <v>124</v>
      </c>
      <c r="R5" s="6" t="s">
        <v>156</v>
      </c>
      <c r="S5" s="6" t="s">
        <v>126</v>
      </c>
    </row>
    <row r="6" customFormat="false" ht="15" hidden="false" customHeight="false" outlineLevel="0" collapsed="false">
      <c r="A6" s="6" t="s">
        <v>157</v>
      </c>
      <c r="B6" s="6" t="s">
        <v>114</v>
      </c>
      <c r="C6" s="6" t="s">
        <v>115</v>
      </c>
      <c r="D6" s="6" t="s">
        <v>158</v>
      </c>
      <c r="E6" s="6" t="s">
        <v>159</v>
      </c>
      <c r="F6" s="6" t="n">
        <v>2016</v>
      </c>
      <c r="G6" s="6" t="s">
        <v>160</v>
      </c>
      <c r="H6" s="6" t="s">
        <v>161</v>
      </c>
      <c r="I6" s="6"/>
      <c r="J6" s="6" t="s">
        <v>120</v>
      </c>
      <c r="K6" s="6"/>
      <c r="L6" s="6" t="s">
        <v>120</v>
      </c>
      <c r="M6" s="6"/>
      <c r="N6" s="6" t="s">
        <v>162</v>
      </c>
      <c r="O6" s="6" t="s">
        <v>154</v>
      </c>
      <c r="P6" s="6" t="s">
        <v>163</v>
      </c>
      <c r="Q6" s="6" t="s">
        <v>124</v>
      </c>
      <c r="R6" s="6" t="s">
        <v>164</v>
      </c>
      <c r="S6" s="6" t="s">
        <v>126</v>
      </c>
    </row>
    <row r="7" customFormat="false" ht="15" hidden="false" customHeight="false" outlineLevel="0" collapsed="false">
      <c r="A7" s="6" t="s">
        <v>165</v>
      </c>
      <c r="B7" s="6" t="s">
        <v>114</v>
      </c>
      <c r="C7" s="6" t="s">
        <v>115</v>
      </c>
      <c r="D7" s="6" t="s">
        <v>166</v>
      </c>
      <c r="E7" s="6" t="s">
        <v>167</v>
      </c>
      <c r="F7" s="6" t="n">
        <v>2025</v>
      </c>
      <c r="G7" s="6" t="s">
        <v>150</v>
      </c>
      <c r="H7" s="6" t="s">
        <v>168</v>
      </c>
      <c r="I7" s="6"/>
      <c r="J7" s="6" t="s">
        <v>133</v>
      </c>
      <c r="K7" s="6" t="s">
        <v>91</v>
      </c>
      <c r="L7" s="6"/>
      <c r="M7" s="6"/>
      <c r="N7" s="6" t="s">
        <v>169</v>
      </c>
      <c r="O7" s="6" t="s">
        <v>170</v>
      </c>
      <c r="P7" s="6" t="s">
        <v>171</v>
      </c>
      <c r="Q7" s="6" t="s">
        <v>124</v>
      </c>
      <c r="R7" s="6" t="s">
        <v>172</v>
      </c>
    </row>
    <row r="8" customFormat="false" ht="15" hidden="false" customHeight="false" outlineLevel="0" collapsed="false">
      <c r="A8" s="6" t="s">
        <v>173</v>
      </c>
      <c r="B8" s="6" t="s">
        <v>174</v>
      </c>
      <c r="C8" s="6" t="s">
        <v>51</v>
      </c>
      <c r="D8" s="6" t="s">
        <v>175</v>
      </c>
      <c r="E8" s="6" t="s">
        <v>176</v>
      </c>
      <c r="F8" s="6" t="n">
        <v>2023</v>
      </c>
      <c r="G8" s="6"/>
      <c r="H8" s="6" t="s">
        <v>177</v>
      </c>
      <c r="I8" s="6"/>
      <c r="J8" s="6" t="s">
        <v>120</v>
      </c>
      <c r="K8" s="6"/>
      <c r="L8" s="6" t="s">
        <v>133</v>
      </c>
      <c r="M8" s="6" t="s">
        <v>79</v>
      </c>
      <c r="N8" s="6" t="s">
        <v>178</v>
      </c>
      <c r="O8" s="6" t="s">
        <v>179</v>
      </c>
      <c r="P8" s="6" t="s">
        <v>180</v>
      </c>
      <c r="Q8" s="6" t="s">
        <v>124</v>
      </c>
      <c r="R8" s="6" t="s">
        <v>181</v>
      </c>
      <c r="S8" s="6" t="s">
        <v>182</v>
      </c>
    </row>
    <row r="9" customFormat="false" ht="15" hidden="false" customHeight="false" outlineLevel="0" collapsed="false">
      <c r="A9" s="6" t="s">
        <v>183</v>
      </c>
      <c r="B9" s="6" t="s">
        <v>174</v>
      </c>
      <c r="C9" s="6" t="s">
        <v>55</v>
      </c>
      <c r="D9" s="6" t="s">
        <v>184</v>
      </c>
      <c r="E9" s="6" t="s">
        <v>185</v>
      </c>
      <c r="F9" s="6" t="n">
        <v>2025</v>
      </c>
      <c r="G9" s="6"/>
      <c r="H9" s="6" t="s">
        <v>186</v>
      </c>
      <c r="I9" s="6"/>
      <c r="J9" s="6" t="s">
        <v>133</v>
      </c>
      <c r="K9" s="6" t="s">
        <v>77</v>
      </c>
      <c r="L9" s="6"/>
      <c r="M9" s="6"/>
      <c r="N9" s="6"/>
      <c r="O9" s="6"/>
      <c r="P9" s="6"/>
      <c r="Q9" s="6"/>
      <c r="R9" s="6" t="s">
        <v>187</v>
      </c>
    </row>
    <row r="10" customFormat="false" ht="15" hidden="false" customHeight="false" outlineLevel="0" collapsed="false">
      <c r="A10" s="6" t="s">
        <v>188</v>
      </c>
      <c r="B10" s="6" t="s">
        <v>174</v>
      </c>
      <c r="C10" s="6" t="s">
        <v>55</v>
      </c>
      <c r="D10" s="6" t="s">
        <v>189</v>
      </c>
      <c r="E10" s="6" t="s">
        <v>190</v>
      </c>
      <c r="F10" s="6" t="n">
        <v>2026</v>
      </c>
      <c r="G10" s="6"/>
      <c r="H10" s="6" t="s">
        <v>191</v>
      </c>
      <c r="I10" s="6"/>
      <c r="J10" s="6" t="s">
        <v>133</v>
      </c>
      <c r="K10" s="6" t="s">
        <v>77</v>
      </c>
      <c r="L10" s="6"/>
      <c r="M10" s="6"/>
      <c r="N10" s="6"/>
      <c r="O10" s="6"/>
      <c r="P10" s="6"/>
      <c r="Q10" s="6"/>
      <c r="R10" s="6" t="s">
        <v>187</v>
      </c>
    </row>
    <row r="11" customFormat="false" ht="15" hidden="false" customHeight="false" outlineLevel="0" collapsed="false">
      <c r="A11" s="6" t="s">
        <v>192</v>
      </c>
      <c r="B11" s="6" t="s">
        <v>174</v>
      </c>
      <c r="C11" s="6" t="s">
        <v>55</v>
      </c>
      <c r="D11" s="6" t="s">
        <v>193</v>
      </c>
      <c r="E11" s="6" t="s">
        <v>194</v>
      </c>
      <c r="F11" s="6" t="n">
        <v>2017</v>
      </c>
      <c r="G11" s="6"/>
      <c r="H11" s="6" t="s">
        <v>195</v>
      </c>
      <c r="I11" s="6"/>
      <c r="J11" s="6" t="s">
        <v>133</v>
      </c>
      <c r="K11" s="6" t="s">
        <v>77</v>
      </c>
      <c r="L11" s="6"/>
      <c r="M11" s="6"/>
      <c r="N11" s="6"/>
      <c r="O11" s="6"/>
      <c r="P11" s="6"/>
      <c r="Q11" s="6"/>
      <c r="R11" s="6" t="s">
        <v>187</v>
      </c>
    </row>
    <row r="12" customFormat="false" ht="15" hidden="false" customHeight="false" outlineLevel="0" collapsed="false">
      <c r="A12" s="6" t="s">
        <v>196</v>
      </c>
      <c r="B12" s="6" t="s">
        <v>174</v>
      </c>
      <c r="C12" s="6" t="s">
        <v>55</v>
      </c>
      <c r="D12" s="6" t="s">
        <v>197</v>
      </c>
      <c r="E12" s="6" t="s">
        <v>198</v>
      </c>
      <c r="F12" s="6" t="n">
        <v>2025</v>
      </c>
      <c r="G12" s="6"/>
      <c r="H12" s="6" t="s">
        <v>199</v>
      </c>
      <c r="I12" s="6"/>
      <c r="J12" s="6" t="s">
        <v>133</v>
      </c>
      <c r="K12" s="6" t="s">
        <v>77</v>
      </c>
      <c r="L12" s="6"/>
      <c r="M12" s="6"/>
      <c r="N12" s="6"/>
      <c r="O12" s="6"/>
      <c r="P12" s="6"/>
      <c r="Q12" s="6"/>
      <c r="R12" s="6" t="s">
        <v>187</v>
      </c>
    </row>
    <row r="13" customFormat="false" ht="15" hidden="false" customHeight="false" outlineLevel="0" collapsed="false">
      <c r="A13" s="6" t="s">
        <v>200</v>
      </c>
      <c r="B13" s="6" t="s">
        <v>174</v>
      </c>
      <c r="C13" s="6" t="s">
        <v>55</v>
      </c>
      <c r="D13" s="6" t="s">
        <v>201</v>
      </c>
      <c r="E13" s="6" t="s">
        <v>202</v>
      </c>
      <c r="F13" s="6" t="n">
        <v>2026</v>
      </c>
      <c r="G13" s="6"/>
      <c r="H13" s="6" t="s">
        <v>203</v>
      </c>
      <c r="I13" s="6"/>
      <c r="J13" s="6" t="s">
        <v>133</v>
      </c>
      <c r="K13" s="6" t="s">
        <v>77</v>
      </c>
      <c r="L13" s="6"/>
      <c r="M13" s="6"/>
      <c r="N13" s="6"/>
      <c r="O13" s="6"/>
      <c r="P13" s="6"/>
      <c r="Q13" s="6"/>
      <c r="R13" s="6" t="s">
        <v>187</v>
      </c>
    </row>
    <row r="14" customFormat="false" ht="15" hidden="false" customHeight="false" outlineLevel="0" collapsed="false">
      <c r="A14" s="6" t="s">
        <v>204</v>
      </c>
      <c r="B14" s="6" t="s">
        <v>174</v>
      </c>
      <c r="C14" s="6" t="s">
        <v>55</v>
      </c>
      <c r="D14" s="6" t="s">
        <v>205</v>
      </c>
      <c r="E14" s="6" t="s">
        <v>206</v>
      </c>
      <c r="F14" s="6" t="n">
        <v>2025</v>
      </c>
      <c r="G14" s="6"/>
      <c r="H14" s="6" t="s">
        <v>207</v>
      </c>
      <c r="I14" s="6"/>
      <c r="J14" s="6" t="s">
        <v>133</v>
      </c>
      <c r="K14" s="6" t="s">
        <v>77</v>
      </c>
      <c r="L14" s="6"/>
      <c r="M14" s="6"/>
      <c r="N14" s="6"/>
      <c r="O14" s="6"/>
      <c r="P14" s="6"/>
      <c r="Q14" s="6"/>
      <c r="R14" s="6" t="s">
        <v>187</v>
      </c>
    </row>
    <row r="15" customFormat="false" ht="15" hidden="false" customHeight="false" outlineLevel="0" collapsed="false">
      <c r="A15" s="6" t="s">
        <v>208</v>
      </c>
      <c r="B15" s="6" t="s">
        <v>174</v>
      </c>
      <c r="C15" s="6" t="s">
        <v>55</v>
      </c>
      <c r="D15" s="6" t="s">
        <v>209</v>
      </c>
      <c r="E15" s="6" t="s">
        <v>210</v>
      </c>
      <c r="F15" s="6" t="n">
        <v>2026</v>
      </c>
      <c r="G15" s="6"/>
      <c r="H15" s="6"/>
      <c r="I15" s="6"/>
      <c r="J15" s="6" t="s">
        <v>133</v>
      </c>
      <c r="K15" s="6" t="s">
        <v>77</v>
      </c>
      <c r="L15" s="6"/>
      <c r="M15" s="6"/>
      <c r="N15" s="6"/>
      <c r="O15" s="6"/>
      <c r="P15" s="6"/>
      <c r="Q15" s="6"/>
      <c r="R15" s="6" t="s">
        <v>187</v>
      </c>
    </row>
    <row r="16" customFormat="false" ht="15" hidden="false" customHeight="false" outlineLevel="0" collapsed="false">
      <c r="A16" s="6" t="s">
        <v>211</v>
      </c>
      <c r="B16" s="6" t="s">
        <v>174</v>
      </c>
      <c r="C16" s="6" t="s">
        <v>55</v>
      </c>
      <c r="D16" s="6" t="s">
        <v>212</v>
      </c>
      <c r="E16" s="6" t="s">
        <v>213</v>
      </c>
      <c r="F16" s="6" t="n">
        <v>2021</v>
      </c>
      <c r="G16" s="6"/>
      <c r="H16" s="6" t="s">
        <v>214</v>
      </c>
      <c r="I16" s="6"/>
      <c r="J16" s="6" t="s">
        <v>133</v>
      </c>
      <c r="K16" s="6" t="s">
        <v>77</v>
      </c>
      <c r="L16" s="6"/>
      <c r="M16" s="6"/>
      <c r="N16" s="6"/>
      <c r="O16" s="6"/>
      <c r="P16" s="6"/>
      <c r="Q16" s="6"/>
      <c r="R16" s="6" t="s">
        <v>187</v>
      </c>
    </row>
    <row r="17" customFormat="false" ht="15" hidden="false" customHeight="false" outlineLevel="0" collapsed="false">
      <c r="A17" s="6" t="s">
        <v>215</v>
      </c>
      <c r="B17" s="6" t="s">
        <v>174</v>
      </c>
      <c r="C17" s="6" t="s">
        <v>55</v>
      </c>
      <c r="D17" s="6" t="s">
        <v>216</v>
      </c>
      <c r="E17" s="6" t="s">
        <v>217</v>
      </c>
      <c r="F17" s="6" t="n">
        <v>2024</v>
      </c>
      <c r="G17" s="6"/>
      <c r="H17" s="6" t="s">
        <v>218</v>
      </c>
      <c r="I17" s="6"/>
      <c r="J17" s="6" t="s">
        <v>133</v>
      </c>
      <c r="K17" s="6" t="s">
        <v>77</v>
      </c>
      <c r="L17" s="6"/>
      <c r="M17" s="6"/>
      <c r="N17" s="6"/>
      <c r="O17" s="6"/>
      <c r="P17" s="6"/>
      <c r="Q17" s="6"/>
      <c r="R17" s="6" t="s">
        <v>187</v>
      </c>
    </row>
    <row r="18" customFormat="false" ht="15" hidden="false" customHeight="false" outlineLevel="0" collapsed="false">
      <c r="A18" s="6" t="s">
        <v>219</v>
      </c>
      <c r="B18" s="6" t="s">
        <v>174</v>
      </c>
      <c r="C18" s="6" t="s">
        <v>55</v>
      </c>
      <c r="D18" s="6" t="s">
        <v>220</v>
      </c>
      <c r="E18" s="6" t="s">
        <v>221</v>
      </c>
      <c r="F18" s="6" t="n">
        <v>2026</v>
      </c>
      <c r="G18" s="6"/>
      <c r="H18" s="6" t="s">
        <v>222</v>
      </c>
      <c r="I18" s="6"/>
      <c r="J18" s="6" t="s">
        <v>133</v>
      </c>
      <c r="K18" s="6" t="s">
        <v>77</v>
      </c>
      <c r="L18" s="6"/>
      <c r="M18" s="6"/>
      <c r="N18" s="6"/>
      <c r="O18" s="6"/>
      <c r="P18" s="6"/>
      <c r="Q18" s="6"/>
      <c r="R18" s="6" t="s">
        <v>187</v>
      </c>
    </row>
    <row r="19" customFormat="false" ht="15" hidden="false" customHeight="false" outlineLevel="0" collapsed="false">
      <c r="A19" s="6" t="s">
        <v>223</v>
      </c>
      <c r="B19" s="6" t="s">
        <v>174</v>
      </c>
      <c r="C19" s="6" t="s">
        <v>55</v>
      </c>
      <c r="D19" s="6" t="s">
        <v>224</v>
      </c>
      <c r="E19" s="6" t="s">
        <v>225</v>
      </c>
      <c r="F19" s="6" t="n">
        <v>2025</v>
      </c>
      <c r="G19" s="6"/>
      <c r="H19" s="6" t="s">
        <v>226</v>
      </c>
      <c r="I19" s="6"/>
      <c r="J19" s="6" t="s">
        <v>133</v>
      </c>
      <c r="K19" s="6" t="s">
        <v>77</v>
      </c>
      <c r="L19" s="6"/>
      <c r="M19" s="6"/>
      <c r="N19" s="6"/>
      <c r="O19" s="6"/>
      <c r="P19" s="6"/>
      <c r="Q19" s="6"/>
      <c r="R19" s="6" t="s">
        <v>187</v>
      </c>
    </row>
    <row r="20" customFormat="false" ht="15" hidden="false" customHeight="false" outlineLevel="0" collapsed="false">
      <c r="A20" s="6" t="s">
        <v>227</v>
      </c>
      <c r="B20" s="6" t="s">
        <v>174</v>
      </c>
      <c r="C20" s="6" t="s">
        <v>55</v>
      </c>
      <c r="D20" s="6" t="s">
        <v>228</v>
      </c>
      <c r="E20" s="6" t="s">
        <v>221</v>
      </c>
      <c r="F20" s="6" t="n">
        <v>2026</v>
      </c>
      <c r="G20" s="6"/>
      <c r="H20" s="6" t="s">
        <v>229</v>
      </c>
      <c r="I20" s="6" t="s">
        <v>219</v>
      </c>
      <c r="J20" s="6" t="s">
        <v>133</v>
      </c>
      <c r="K20" s="6" t="s">
        <v>83</v>
      </c>
      <c r="L20" s="6"/>
      <c r="M20" s="6"/>
      <c r="N20" s="6"/>
      <c r="O20" s="6"/>
      <c r="P20" s="6"/>
      <c r="Q20" s="6"/>
      <c r="R20" s="6" t="s">
        <v>230</v>
      </c>
    </row>
    <row r="21" customFormat="false" ht="15" hidden="false" customHeight="false" outlineLevel="0" collapsed="false">
      <c r="A21" s="6" t="s">
        <v>231</v>
      </c>
      <c r="B21" s="6" t="s">
        <v>174</v>
      </c>
      <c r="C21" s="6" t="s">
        <v>55</v>
      </c>
      <c r="D21" s="6" t="s">
        <v>232</v>
      </c>
      <c r="E21" s="6" t="s">
        <v>233</v>
      </c>
      <c r="F21" s="6" t="n">
        <v>2023</v>
      </c>
      <c r="G21" s="6"/>
      <c r="H21" s="6" t="s">
        <v>234</v>
      </c>
      <c r="I21" s="6"/>
      <c r="J21" s="6" t="s">
        <v>133</v>
      </c>
      <c r="K21" s="6" t="s">
        <v>77</v>
      </c>
      <c r="L21" s="6"/>
      <c r="M21" s="6"/>
      <c r="N21" s="6"/>
      <c r="O21" s="6"/>
      <c r="P21" s="6"/>
      <c r="Q21" s="6"/>
      <c r="R21" s="6" t="s">
        <v>187</v>
      </c>
    </row>
    <row r="22" customFormat="false" ht="15" hidden="false" customHeight="false" outlineLevel="0" collapsed="false">
      <c r="A22" s="6" t="s">
        <v>235</v>
      </c>
      <c r="B22" s="6" t="s">
        <v>174</v>
      </c>
      <c r="C22" s="6" t="s">
        <v>55</v>
      </c>
      <c r="D22" s="6" t="s">
        <v>236</v>
      </c>
      <c r="E22" s="6" t="s">
        <v>237</v>
      </c>
      <c r="F22" s="6" t="n">
        <v>2026</v>
      </c>
      <c r="G22" s="6"/>
      <c r="H22" s="6" t="s">
        <v>238</v>
      </c>
      <c r="I22" s="6"/>
      <c r="J22" s="6" t="s">
        <v>133</v>
      </c>
      <c r="K22" s="6" t="s">
        <v>77</v>
      </c>
      <c r="L22" s="6"/>
      <c r="M22" s="6"/>
      <c r="N22" s="6"/>
      <c r="O22" s="6"/>
      <c r="P22" s="6"/>
      <c r="Q22" s="6"/>
      <c r="R22" s="6" t="s">
        <v>187</v>
      </c>
    </row>
    <row r="23" customFormat="false" ht="15" hidden="false" customHeight="false" outlineLevel="0" collapsed="false">
      <c r="A23" s="6" t="s">
        <v>239</v>
      </c>
      <c r="B23" s="6" t="s">
        <v>174</v>
      </c>
      <c r="C23" s="6" t="s">
        <v>55</v>
      </c>
      <c r="D23" s="6" t="s">
        <v>240</v>
      </c>
      <c r="E23" s="6" t="s">
        <v>241</v>
      </c>
      <c r="F23" s="6" t="n">
        <v>2025</v>
      </c>
      <c r="G23" s="6"/>
      <c r="H23" s="6" t="s">
        <v>242</v>
      </c>
      <c r="I23" s="6"/>
      <c r="J23" s="6" t="s">
        <v>133</v>
      </c>
      <c r="K23" s="6" t="s">
        <v>77</v>
      </c>
      <c r="L23" s="6"/>
      <c r="M23" s="6"/>
      <c r="N23" s="6"/>
      <c r="O23" s="6"/>
      <c r="P23" s="6"/>
      <c r="Q23" s="6"/>
      <c r="R23" s="6" t="s">
        <v>187</v>
      </c>
    </row>
    <row r="24" customFormat="false" ht="15" hidden="false" customHeight="false" outlineLevel="0" collapsed="false">
      <c r="A24" s="6" t="s">
        <v>243</v>
      </c>
      <c r="B24" s="6" t="s">
        <v>174</v>
      </c>
      <c r="C24" s="6" t="s">
        <v>55</v>
      </c>
      <c r="D24" s="6" t="s">
        <v>244</v>
      </c>
      <c r="E24" s="6" t="s">
        <v>245</v>
      </c>
      <c r="F24" s="6" t="n">
        <v>2026</v>
      </c>
      <c r="G24" s="6"/>
      <c r="H24" s="6" t="s">
        <v>246</v>
      </c>
      <c r="I24" s="6"/>
      <c r="J24" s="6" t="s">
        <v>133</v>
      </c>
      <c r="K24" s="6" t="s">
        <v>89</v>
      </c>
      <c r="L24" s="6"/>
      <c r="M24" s="6"/>
      <c r="N24" s="6"/>
      <c r="O24" s="6"/>
      <c r="P24" s="6"/>
      <c r="Q24" s="6"/>
      <c r="R24" s="6" t="s">
        <v>247</v>
      </c>
    </row>
    <row r="25" customFormat="false" ht="15" hidden="false" customHeight="false" outlineLevel="0" collapsed="false">
      <c r="A25" s="6" t="s">
        <v>248</v>
      </c>
      <c r="B25" s="6" t="s">
        <v>174</v>
      </c>
      <c r="C25" s="6" t="s">
        <v>57</v>
      </c>
      <c r="D25" s="6" t="s">
        <v>249</v>
      </c>
      <c r="E25" s="6" t="s">
        <v>250</v>
      </c>
      <c r="F25" s="6" t="n">
        <v>2021</v>
      </c>
      <c r="G25" s="6"/>
      <c r="H25" s="6" t="s">
        <v>251</v>
      </c>
      <c r="I25" s="6"/>
      <c r="J25" s="6" t="s">
        <v>133</v>
      </c>
      <c r="K25" s="6" t="s">
        <v>77</v>
      </c>
      <c r="L25" s="6"/>
      <c r="M25" s="6"/>
      <c r="N25" s="6"/>
      <c r="O25" s="6"/>
      <c r="P25" s="6"/>
      <c r="Q25" s="6"/>
      <c r="R25" s="6" t="s">
        <v>187</v>
      </c>
    </row>
    <row r="26" customFormat="false" ht="15" hidden="false" customHeight="false" outlineLevel="0" collapsed="false">
      <c r="A26" s="6" t="s">
        <v>252</v>
      </c>
      <c r="B26" s="6" t="s">
        <v>174</v>
      </c>
      <c r="C26" s="6" t="s">
        <v>57</v>
      </c>
      <c r="D26" s="6" t="s">
        <v>253</v>
      </c>
      <c r="E26" s="6" t="s">
        <v>254</v>
      </c>
      <c r="F26" s="6" t="n">
        <v>2017</v>
      </c>
      <c r="G26" s="6"/>
      <c r="H26" s="6" t="s">
        <v>255</v>
      </c>
      <c r="I26" s="6"/>
      <c r="J26" s="6" t="s">
        <v>133</v>
      </c>
      <c r="K26" s="6" t="s">
        <v>77</v>
      </c>
      <c r="L26" s="6"/>
      <c r="M26" s="6"/>
      <c r="N26" s="6"/>
      <c r="O26" s="6"/>
      <c r="P26" s="6"/>
      <c r="Q26" s="6"/>
      <c r="R26" s="6" t="s">
        <v>187</v>
      </c>
    </row>
    <row r="27" customFormat="false" ht="15" hidden="false" customHeight="false" outlineLevel="0" collapsed="false">
      <c r="A27" s="6" t="s">
        <v>256</v>
      </c>
      <c r="B27" s="6" t="s">
        <v>174</v>
      </c>
      <c r="C27" s="6" t="s">
        <v>57</v>
      </c>
      <c r="D27" s="6" t="s">
        <v>257</v>
      </c>
      <c r="E27" s="6" t="s">
        <v>258</v>
      </c>
      <c r="F27" s="6" t="n">
        <v>2018</v>
      </c>
      <c r="G27" s="6"/>
      <c r="H27" s="6" t="s">
        <v>259</v>
      </c>
      <c r="I27" s="6"/>
      <c r="J27" s="6" t="s">
        <v>152</v>
      </c>
      <c r="K27" s="6"/>
      <c r="L27" s="6" t="s">
        <v>120</v>
      </c>
      <c r="M27" s="6"/>
      <c r="N27" s="6" t="s">
        <v>260</v>
      </c>
      <c r="O27" s="6" t="s">
        <v>261</v>
      </c>
      <c r="P27" s="6" t="s">
        <v>262</v>
      </c>
      <c r="Q27" s="6" t="s">
        <v>137</v>
      </c>
      <c r="R27" s="6" t="s">
        <v>263</v>
      </c>
      <c r="S27" s="6" t="s">
        <v>126</v>
      </c>
    </row>
    <row r="28" customFormat="false" ht="15" hidden="false" customHeight="false" outlineLevel="0" collapsed="false">
      <c r="A28" s="6" t="s">
        <v>264</v>
      </c>
      <c r="B28" s="6" t="s">
        <v>174</v>
      </c>
      <c r="C28" s="6" t="s">
        <v>57</v>
      </c>
      <c r="D28" s="6" t="s">
        <v>265</v>
      </c>
      <c r="E28" s="6" t="s">
        <v>266</v>
      </c>
      <c r="F28" s="6" t="n">
        <v>2018</v>
      </c>
      <c r="G28" s="6"/>
      <c r="H28" s="6"/>
      <c r="I28" s="6"/>
      <c r="J28" s="6" t="s">
        <v>133</v>
      </c>
      <c r="K28" s="6" t="s">
        <v>77</v>
      </c>
      <c r="L28" s="6"/>
      <c r="M28" s="6"/>
      <c r="N28" s="6"/>
      <c r="O28" s="6"/>
      <c r="P28" s="6"/>
      <c r="Q28" s="6"/>
      <c r="R28" s="6" t="s">
        <v>187</v>
      </c>
    </row>
    <row r="29" customFormat="false" ht="15" hidden="false" customHeight="false" outlineLevel="0" collapsed="false">
      <c r="A29" s="6" t="s">
        <v>267</v>
      </c>
      <c r="B29" s="6" t="s">
        <v>174</v>
      </c>
      <c r="C29" s="6" t="s">
        <v>57</v>
      </c>
      <c r="D29" s="6" t="s">
        <v>268</v>
      </c>
      <c r="E29" s="6" t="s">
        <v>269</v>
      </c>
      <c r="F29" s="6" t="n">
        <v>2021</v>
      </c>
      <c r="G29" s="6"/>
      <c r="H29" s="6" t="s">
        <v>270</v>
      </c>
      <c r="I29" s="6"/>
      <c r="J29" s="6" t="s">
        <v>120</v>
      </c>
      <c r="K29" s="6"/>
      <c r="L29" s="6" t="s">
        <v>120</v>
      </c>
      <c r="M29" s="6"/>
      <c r="N29" s="6" t="s">
        <v>271</v>
      </c>
      <c r="O29" s="6" t="s">
        <v>272</v>
      </c>
      <c r="P29" s="6" t="s">
        <v>273</v>
      </c>
      <c r="Q29" s="6" t="s">
        <v>124</v>
      </c>
      <c r="R29" s="6" t="s">
        <v>274</v>
      </c>
      <c r="S29" s="6" t="s">
        <v>126</v>
      </c>
    </row>
    <row r="30" customFormat="false" ht="15" hidden="false" customHeight="false" outlineLevel="0" collapsed="false">
      <c r="A30" s="6" t="s">
        <v>275</v>
      </c>
      <c r="B30" s="6" t="s">
        <v>174</v>
      </c>
      <c r="C30" s="6" t="s">
        <v>57</v>
      </c>
      <c r="D30" s="6" t="s">
        <v>276</v>
      </c>
      <c r="E30" s="6" t="s">
        <v>277</v>
      </c>
      <c r="F30" s="6" t="n">
        <v>2025</v>
      </c>
      <c r="G30" s="6"/>
      <c r="H30" s="6" t="s">
        <v>278</v>
      </c>
      <c r="I30" s="6"/>
      <c r="J30" s="6" t="s">
        <v>133</v>
      </c>
      <c r="K30" s="6" t="s">
        <v>77</v>
      </c>
      <c r="L30" s="6"/>
      <c r="M30" s="6"/>
      <c r="N30" s="6"/>
      <c r="O30" s="6"/>
      <c r="P30" s="6"/>
      <c r="Q30" s="6"/>
      <c r="R30" s="6" t="s">
        <v>187</v>
      </c>
    </row>
    <row r="31" customFormat="false" ht="15" hidden="false" customHeight="false" outlineLevel="0" collapsed="false">
      <c r="A31" s="6" t="s">
        <v>279</v>
      </c>
      <c r="B31" s="6" t="s">
        <v>174</v>
      </c>
      <c r="C31" s="6" t="s">
        <v>57</v>
      </c>
      <c r="D31" s="6" t="s">
        <v>280</v>
      </c>
      <c r="E31" s="6" t="s">
        <v>281</v>
      </c>
      <c r="F31" s="6" t="n">
        <v>2025</v>
      </c>
      <c r="G31" s="6"/>
      <c r="H31" s="6" t="s">
        <v>282</v>
      </c>
      <c r="I31" s="6"/>
      <c r="J31" s="6" t="s">
        <v>152</v>
      </c>
      <c r="K31" s="6"/>
      <c r="L31" s="6" t="s">
        <v>133</v>
      </c>
      <c r="M31" s="6" t="s">
        <v>79</v>
      </c>
      <c r="N31" s="6" t="s">
        <v>283</v>
      </c>
      <c r="O31" s="6" t="s">
        <v>115</v>
      </c>
      <c r="P31" s="6" t="s">
        <v>115</v>
      </c>
      <c r="Q31" s="6" t="s">
        <v>137</v>
      </c>
      <c r="R31" s="6" t="s">
        <v>284</v>
      </c>
      <c r="S31" s="6" t="s">
        <v>182</v>
      </c>
    </row>
    <row r="32" customFormat="false" ht="15" hidden="false" customHeight="false" outlineLevel="0" collapsed="false">
      <c r="A32" s="6" t="s">
        <v>285</v>
      </c>
      <c r="B32" s="6" t="s">
        <v>174</v>
      </c>
      <c r="C32" s="6" t="s">
        <v>57</v>
      </c>
      <c r="D32" s="6" t="s">
        <v>286</v>
      </c>
      <c r="E32" s="6" t="s">
        <v>287</v>
      </c>
      <c r="F32" s="6" t="n">
        <v>2026</v>
      </c>
      <c r="G32" s="6"/>
      <c r="H32" s="6" t="s">
        <v>288</v>
      </c>
      <c r="I32" s="6"/>
      <c r="J32" s="6" t="s">
        <v>133</v>
      </c>
      <c r="K32" s="6" t="s">
        <v>77</v>
      </c>
      <c r="L32" s="6"/>
      <c r="M32" s="6"/>
      <c r="N32" s="6"/>
      <c r="O32" s="6"/>
      <c r="P32" s="6"/>
      <c r="Q32" s="6"/>
      <c r="R32" s="6" t="s">
        <v>187</v>
      </c>
    </row>
    <row r="33" customFormat="false" ht="15" hidden="false" customHeight="false" outlineLevel="0" collapsed="false">
      <c r="A33" s="6" t="s">
        <v>132</v>
      </c>
      <c r="B33" s="6" t="s">
        <v>174</v>
      </c>
      <c r="C33" s="6" t="s">
        <v>57</v>
      </c>
      <c r="D33" s="6" t="s">
        <v>128</v>
      </c>
      <c r="E33" s="6" t="s">
        <v>289</v>
      </c>
      <c r="F33" s="6" t="n">
        <v>2024</v>
      </c>
      <c r="G33" s="6"/>
      <c r="H33" s="6" t="s">
        <v>290</v>
      </c>
      <c r="I33" s="6"/>
      <c r="J33" s="6" t="s">
        <v>120</v>
      </c>
      <c r="K33" s="6"/>
      <c r="L33" s="6" t="s">
        <v>120</v>
      </c>
      <c r="M33" s="6"/>
      <c r="N33" s="6" t="s">
        <v>291</v>
      </c>
      <c r="O33" s="6" t="s">
        <v>292</v>
      </c>
      <c r="P33" s="6" t="s">
        <v>293</v>
      </c>
      <c r="Q33" s="6" t="s">
        <v>137</v>
      </c>
      <c r="R33" s="6" t="s">
        <v>294</v>
      </c>
      <c r="S33" s="6" t="s">
        <v>126</v>
      </c>
    </row>
    <row r="34" customFormat="false" ht="15" hidden="false" customHeight="false" outlineLevel="0" collapsed="false">
      <c r="A34" s="6" t="s">
        <v>295</v>
      </c>
      <c r="B34" s="6" t="s">
        <v>174</v>
      </c>
      <c r="C34" s="6" t="s">
        <v>57</v>
      </c>
      <c r="D34" s="6" t="s">
        <v>296</v>
      </c>
      <c r="E34" s="6" t="s">
        <v>297</v>
      </c>
      <c r="F34" s="6" t="n">
        <v>2014</v>
      </c>
      <c r="G34" s="6"/>
      <c r="H34" s="6" t="s">
        <v>298</v>
      </c>
      <c r="I34" s="6"/>
      <c r="J34" s="6" t="s">
        <v>152</v>
      </c>
      <c r="K34" s="6"/>
      <c r="L34" s="6" t="s">
        <v>133</v>
      </c>
      <c r="M34" s="6" t="s">
        <v>79</v>
      </c>
      <c r="N34" s="6" t="s">
        <v>299</v>
      </c>
      <c r="O34" s="6" t="s">
        <v>115</v>
      </c>
      <c r="P34" s="6" t="s">
        <v>115</v>
      </c>
      <c r="Q34" s="6" t="s">
        <v>137</v>
      </c>
      <c r="R34" s="6" t="s">
        <v>300</v>
      </c>
      <c r="S34" s="6" t="s">
        <v>182</v>
      </c>
    </row>
    <row r="35" customFormat="false" ht="15" hidden="false" customHeight="false" outlineLevel="0" collapsed="false">
      <c r="A35" s="6" t="s">
        <v>301</v>
      </c>
      <c r="B35" s="6" t="s">
        <v>174</v>
      </c>
      <c r="C35" s="6" t="s">
        <v>57</v>
      </c>
      <c r="D35" s="6" t="s">
        <v>302</v>
      </c>
      <c r="E35" s="6" t="s">
        <v>303</v>
      </c>
      <c r="F35" s="6" t="n">
        <v>2018</v>
      </c>
      <c r="G35" s="6"/>
      <c r="H35" s="6" t="s">
        <v>304</v>
      </c>
      <c r="I35" s="6"/>
      <c r="J35" s="6" t="s">
        <v>133</v>
      </c>
      <c r="K35" s="6" t="s">
        <v>77</v>
      </c>
      <c r="L35" s="6"/>
      <c r="M35" s="6"/>
      <c r="N35" s="6"/>
      <c r="O35" s="6"/>
      <c r="P35" s="6"/>
      <c r="Q35" s="6"/>
      <c r="R35" s="6" t="s">
        <v>187</v>
      </c>
    </row>
    <row r="36" customFormat="false" ht="15" hidden="false" customHeight="false" outlineLevel="0" collapsed="false">
      <c r="A36" s="6" t="s">
        <v>305</v>
      </c>
      <c r="B36" s="6" t="s">
        <v>174</v>
      </c>
      <c r="C36" s="6" t="s">
        <v>57</v>
      </c>
      <c r="D36" s="6" t="s">
        <v>306</v>
      </c>
      <c r="E36" s="6" t="s">
        <v>307</v>
      </c>
      <c r="F36" s="6" t="n">
        <v>2025</v>
      </c>
      <c r="G36" s="6"/>
      <c r="H36" s="6" t="s">
        <v>308</v>
      </c>
      <c r="I36" s="6"/>
      <c r="J36" s="6" t="s">
        <v>120</v>
      </c>
      <c r="K36" s="6"/>
      <c r="L36" s="6" t="s">
        <v>120</v>
      </c>
      <c r="M36" s="6"/>
      <c r="N36" s="6" t="s">
        <v>309</v>
      </c>
      <c r="O36" s="6" t="s">
        <v>135</v>
      </c>
      <c r="P36" s="6" t="s">
        <v>310</v>
      </c>
      <c r="Q36" s="6" t="s">
        <v>137</v>
      </c>
      <c r="R36" s="6" t="s">
        <v>311</v>
      </c>
      <c r="S36" s="6" t="s">
        <v>126</v>
      </c>
    </row>
    <row r="37" customFormat="false" ht="15" hidden="false" customHeight="false" outlineLevel="0" collapsed="false">
      <c r="A37" s="6" t="s">
        <v>312</v>
      </c>
      <c r="B37" s="6" t="s">
        <v>174</v>
      </c>
      <c r="C37" s="6" t="s">
        <v>57</v>
      </c>
      <c r="D37" s="6" t="s">
        <v>313</v>
      </c>
      <c r="E37" s="6" t="s">
        <v>314</v>
      </c>
      <c r="F37" s="6" t="n">
        <v>2019</v>
      </c>
      <c r="G37" s="6"/>
      <c r="H37" s="6" t="s">
        <v>315</v>
      </c>
      <c r="I37" s="6"/>
      <c r="J37" s="6" t="s">
        <v>133</v>
      </c>
      <c r="K37" s="6" t="s">
        <v>77</v>
      </c>
      <c r="L37" s="6"/>
      <c r="M37" s="6"/>
      <c r="N37" s="6"/>
      <c r="O37" s="6"/>
      <c r="P37" s="6"/>
      <c r="Q37" s="6"/>
      <c r="R37" s="6" t="s">
        <v>187</v>
      </c>
    </row>
    <row r="38" customFormat="false" ht="15" hidden="false" customHeight="false" outlineLevel="0" collapsed="false">
      <c r="A38" s="6" t="s">
        <v>316</v>
      </c>
      <c r="B38" s="6" t="s">
        <v>174</v>
      </c>
      <c r="C38" s="6" t="s">
        <v>57</v>
      </c>
      <c r="D38" s="6" t="s">
        <v>317</v>
      </c>
      <c r="E38" s="6" t="s">
        <v>318</v>
      </c>
      <c r="F38" s="6" t="n">
        <v>2022</v>
      </c>
      <c r="G38" s="6"/>
      <c r="H38" s="6" t="s">
        <v>319</v>
      </c>
      <c r="I38" s="6"/>
      <c r="J38" s="6" t="s">
        <v>133</v>
      </c>
      <c r="K38" s="6" t="s">
        <v>77</v>
      </c>
      <c r="L38" s="6"/>
      <c r="M38" s="6"/>
      <c r="N38" s="6"/>
      <c r="O38" s="6"/>
      <c r="P38" s="6"/>
      <c r="Q38" s="6"/>
      <c r="R38" s="6" t="s">
        <v>187</v>
      </c>
    </row>
    <row r="39" customFormat="false" ht="15" hidden="false" customHeight="false" outlineLevel="0" collapsed="false">
      <c r="A39" s="6" t="s">
        <v>320</v>
      </c>
      <c r="B39" s="6" t="s">
        <v>174</v>
      </c>
      <c r="C39" s="6" t="s">
        <v>57</v>
      </c>
      <c r="D39" s="6" t="s">
        <v>321</v>
      </c>
      <c r="E39" s="6" t="s">
        <v>322</v>
      </c>
      <c r="F39" s="6" t="n">
        <v>2019</v>
      </c>
      <c r="G39" s="6"/>
      <c r="H39" s="6" t="s">
        <v>323</v>
      </c>
      <c r="I39" s="6"/>
      <c r="J39" s="6" t="s">
        <v>133</v>
      </c>
      <c r="K39" s="6" t="s">
        <v>77</v>
      </c>
      <c r="L39" s="6"/>
      <c r="M39" s="6"/>
      <c r="N39" s="6"/>
      <c r="O39" s="6"/>
      <c r="P39" s="6"/>
      <c r="Q39" s="6"/>
      <c r="R39" s="6" t="s">
        <v>187</v>
      </c>
    </row>
    <row r="40" customFormat="false" ht="15" hidden="false" customHeight="false" outlineLevel="0" collapsed="false">
      <c r="A40" s="6" t="s">
        <v>324</v>
      </c>
      <c r="B40" s="6" t="s">
        <v>174</v>
      </c>
      <c r="C40" s="6" t="s">
        <v>57</v>
      </c>
      <c r="D40" s="6" t="s">
        <v>325</v>
      </c>
      <c r="E40" s="6" t="s">
        <v>326</v>
      </c>
      <c r="F40" s="6" t="n">
        <v>2023</v>
      </c>
      <c r="G40" s="6"/>
      <c r="H40" s="6" t="s">
        <v>327</v>
      </c>
      <c r="I40" s="6"/>
      <c r="J40" s="6" t="s">
        <v>133</v>
      </c>
      <c r="K40" s="6" t="s">
        <v>77</v>
      </c>
      <c r="L40" s="6"/>
      <c r="M40" s="6"/>
      <c r="N40" s="6"/>
      <c r="O40" s="6"/>
      <c r="P40" s="6"/>
      <c r="Q40" s="6"/>
      <c r="R40" s="6" t="s">
        <v>187</v>
      </c>
    </row>
    <row r="41" customFormat="false" ht="15" hidden="false" customHeight="false" outlineLevel="0" collapsed="false">
      <c r="A41" s="6" t="s">
        <v>328</v>
      </c>
      <c r="B41" s="6" t="s">
        <v>174</v>
      </c>
      <c r="C41" s="6" t="s">
        <v>57</v>
      </c>
      <c r="D41" s="6" t="s">
        <v>329</v>
      </c>
      <c r="E41" s="6" t="s">
        <v>330</v>
      </c>
      <c r="F41" s="6" t="n">
        <v>2023</v>
      </c>
      <c r="G41" s="6"/>
      <c r="H41" s="6" t="s">
        <v>331</v>
      </c>
      <c r="I41" s="6"/>
      <c r="J41" s="6" t="s">
        <v>133</v>
      </c>
      <c r="K41" s="6" t="s">
        <v>77</v>
      </c>
      <c r="L41" s="6"/>
      <c r="M41" s="6"/>
      <c r="N41" s="6"/>
      <c r="O41" s="6"/>
      <c r="P41" s="6"/>
      <c r="Q41" s="6"/>
      <c r="R41" s="6" t="s">
        <v>187</v>
      </c>
    </row>
    <row r="42" customFormat="false" ht="15" hidden="false" customHeight="false" outlineLevel="0" collapsed="false">
      <c r="A42" s="6" t="s">
        <v>332</v>
      </c>
      <c r="B42" s="6" t="s">
        <v>174</v>
      </c>
      <c r="C42" s="6" t="s">
        <v>57</v>
      </c>
      <c r="D42" s="6" t="s">
        <v>333</v>
      </c>
      <c r="E42" s="6" t="s">
        <v>334</v>
      </c>
      <c r="F42" s="6" t="n">
        <v>2022</v>
      </c>
      <c r="G42" s="6"/>
      <c r="H42" s="6" t="s">
        <v>335</v>
      </c>
      <c r="I42" s="6"/>
      <c r="J42" s="6" t="s">
        <v>133</v>
      </c>
      <c r="K42" s="6" t="s">
        <v>77</v>
      </c>
      <c r="L42" s="6"/>
      <c r="M42" s="6"/>
      <c r="N42" s="6"/>
      <c r="O42" s="6"/>
      <c r="P42" s="6"/>
      <c r="Q42" s="6"/>
      <c r="R42" s="6" t="s">
        <v>187</v>
      </c>
    </row>
    <row r="43" customFormat="false" ht="15" hidden="false" customHeight="false" outlineLevel="0" collapsed="false">
      <c r="A43" s="6" t="s">
        <v>336</v>
      </c>
      <c r="B43" s="6" t="s">
        <v>174</v>
      </c>
      <c r="C43" s="6" t="s">
        <v>57</v>
      </c>
      <c r="D43" s="6" t="s">
        <v>337</v>
      </c>
      <c r="E43" s="6" t="s">
        <v>338</v>
      </c>
      <c r="F43" s="6" t="n">
        <v>2020</v>
      </c>
      <c r="G43" s="6"/>
      <c r="H43" s="6" t="s">
        <v>339</v>
      </c>
      <c r="I43" s="6"/>
      <c r="J43" s="6" t="s">
        <v>133</v>
      </c>
      <c r="K43" s="6" t="s">
        <v>77</v>
      </c>
      <c r="L43" s="6"/>
      <c r="M43" s="6"/>
      <c r="N43" s="6"/>
      <c r="O43" s="6"/>
      <c r="P43" s="6"/>
      <c r="Q43" s="6"/>
      <c r="R43" s="6" t="s">
        <v>187</v>
      </c>
    </row>
    <row r="44" customFormat="false" ht="15" hidden="false" customHeight="false" outlineLevel="0" collapsed="false">
      <c r="A44" s="6" t="s">
        <v>340</v>
      </c>
      <c r="B44" s="6" t="s">
        <v>174</v>
      </c>
      <c r="C44" s="6" t="s">
        <v>57</v>
      </c>
      <c r="D44" s="6" t="s">
        <v>341</v>
      </c>
      <c r="E44" s="6" t="s">
        <v>342</v>
      </c>
      <c r="F44" s="6" t="n">
        <v>2018</v>
      </c>
      <c r="G44" s="6"/>
      <c r="H44" s="6" t="s">
        <v>343</v>
      </c>
      <c r="I44" s="6"/>
      <c r="J44" s="6" t="s">
        <v>133</v>
      </c>
      <c r="K44" s="6" t="s">
        <v>77</v>
      </c>
      <c r="L44" s="6"/>
      <c r="M44" s="6"/>
      <c r="N44" s="6"/>
      <c r="O44" s="6"/>
      <c r="P44" s="6"/>
      <c r="Q44" s="6"/>
      <c r="R44" s="6" t="s">
        <v>187</v>
      </c>
    </row>
    <row r="45" customFormat="false" ht="15" hidden="false" customHeight="false" outlineLevel="0" collapsed="false">
      <c r="A45" s="6" t="s">
        <v>344</v>
      </c>
      <c r="B45" s="6" t="s">
        <v>174</v>
      </c>
      <c r="C45" s="6" t="s">
        <v>57</v>
      </c>
      <c r="D45" s="6" t="s">
        <v>345</v>
      </c>
      <c r="E45" s="6" t="s">
        <v>346</v>
      </c>
      <c r="F45" s="6" t="n">
        <v>2020</v>
      </c>
      <c r="G45" s="6"/>
      <c r="H45" s="6" t="s">
        <v>347</v>
      </c>
      <c r="I45" s="6"/>
      <c r="J45" s="6" t="s">
        <v>133</v>
      </c>
      <c r="K45" s="6" t="s">
        <v>77</v>
      </c>
      <c r="L45" s="6"/>
      <c r="M45" s="6"/>
      <c r="N45" s="6"/>
      <c r="O45" s="6"/>
      <c r="P45" s="6"/>
      <c r="Q45" s="6"/>
      <c r="R45" s="6" t="s">
        <v>187</v>
      </c>
    </row>
    <row r="46" customFormat="false" ht="15" hidden="false" customHeight="false" outlineLevel="0" collapsed="false">
      <c r="A46" s="6" t="s">
        <v>348</v>
      </c>
      <c r="B46" s="6" t="s">
        <v>174</v>
      </c>
      <c r="C46" s="6" t="s">
        <v>57</v>
      </c>
      <c r="D46" s="6" t="s">
        <v>349</v>
      </c>
      <c r="E46" s="6" t="s">
        <v>350</v>
      </c>
      <c r="F46" s="6" t="n">
        <v>2018</v>
      </c>
      <c r="G46" s="6"/>
      <c r="H46" s="6" t="s">
        <v>351</v>
      </c>
      <c r="I46" s="6"/>
      <c r="J46" s="6" t="s">
        <v>133</v>
      </c>
      <c r="K46" s="6" t="s">
        <v>91</v>
      </c>
      <c r="L46" s="6"/>
      <c r="M46" s="6"/>
      <c r="N46" s="6"/>
      <c r="O46" s="6"/>
      <c r="P46" s="6"/>
      <c r="Q46" s="6"/>
      <c r="R46" s="6" t="s">
        <v>352</v>
      </c>
    </row>
    <row r="47" customFormat="false" ht="15" hidden="false" customHeight="false" outlineLevel="0" collapsed="false">
      <c r="A47" s="6" t="s">
        <v>353</v>
      </c>
      <c r="B47" s="6" t="s">
        <v>174</v>
      </c>
      <c r="C47" s="6" t="s">
        <v>57</v>
      </c>
      <c r="D47" s="6" t="s">
        <v>354</v>
      </c>
      <c r="E47" s="6" t="s">
        <v>355</v>
      </c>
      <c r="F47" s="6" t="n">
        <v>2026</v>
      </c>
      <c r="G47" s="6"/>
      <c r="H47" s="6" t="s">
        <v>356</v>
      </c>
      <c r="I47" s="6"/>
      <c r="J47" s="6" t="s">
        <v>133</v>
      </c>
      <c r="K47" s="6" t="s">
        <v>77</v>
      </c>
      <c r="L47" s="6"/>
      <c r="M47" s="6"/>
      <c r="N47" s="6"/>
      <c r="O47" s="6"/>
      <c r="P47" s="6"/>
      <c r="Q47" s="6"/>
      <c r="R47" s="6" t="s">
        <v>187</v>
      </c>
    </row>
    <row r="48" customFormat="false" ht="15" hidden="false" customHeight="false" outlineLevel="0" collapsed="false">
      <c r="A48" s="6" t="s">
        <v>357</v>
      </c>
      <c r="B48" s="6" t="s">
        <v>174</v>
      </c>
      <c r="C48" s="6" t="s">
        <v>57</v>
      </c>
      <c r="D48" s="6" t="s">
        <v>358</v>
      </c>
      <c r="E48" s="6" t="s">
        <v>359</v>
      </c>
      <c r="F48" s="6" t="n">
        <v>2023</v>
      </c>
      <c r="G48" s="6"/>
      <c r="H48" s="6" t="s">
        <v>360</v>
      </c>
      <c r="I48" s="6"/>
      <c r="J48" s="6" t="s">
        <v>133</v>
      </c>
      <c r="K48" s="6" t="s">
        <v>77</v>
      </c>
      <c r="L48" s="6"/>
      <c r="M48" s="6"/>
      <c r="N48" s="6"/>
      <c r="O48" s="6"/>
      <c r="P48" s="6"/>
      <c r="Q48" s="6"/>
      <c r="R48" s="6" t="s">
        <v>187</v>
      </c>
    </row>
    <row r="49" customFormat="false" ht="15" hidden="false" customHeight="false" outlineLevel="0" collapsed="false">
      <c r="A49" s="6" t="s">
        <v>361</v>
      </c>
      <c r="B49" s="6" t="s">
        <v>174</v>
      </c>
      <c r="C49" s="6" t="s">
        <v>57</v>
      </c>
      <c r="D49" s="6" t="s">
        <v>362</v>
      </c>
      <c r="E49" s="6" t="s">
        <v>363</v>
      </c>
      <c r="F49" s="6" t="n">
        <v>2026</v>
      </c>
      <c r="G49" s="6"/>
      <c r="H49" s="6" t="s">
        <v>364</v>
      </c>
      <c r="I49" s="6"/>
      <c r="J49" s="6" t="s">
        <v>152</v>
      </c>
      <c r="K49" s="6"/>
      <c r="L49" s="6" t="s">
        <v>120</v>
      </c>
      <c r="M49" s="6"/>
      <c r="N49" s="6" t="s">
        <v>365</v>
      </c>
      <c r="O49" s="6" t="s">
        <v>272</v>
      </c>
      <c r="P49" s="6" t="s">
        <v>366</v>
      </c>
      <c r="Q49" s="6" t="s">
        <v>137</v>
      </c>
      <c r="R49" s="6" t="s">
        <v>367</v>
      </c>
      <c r="S49" s="6" t="s">
        <v>182</v>
      </c>
    </row>
    <row r="50" customFormat="false" ht="15" hidden="false" customHeight="false" outlineLevel="0" collapsed="false">
      <c r="A50" s="6" t="s">
        <v>368</v>
      </c>
      <c r="B50" s="6" t="s">
        <v>174</v>
      </c>
      <c r="C50" s="6" t="s">
        <v>57</v>
      </c>
      <c r="D50" s="6" t="s">
        <v>369</v>
      </c>
      <c r="E50" s="6" t="s">
        <v>370</v>
      </c>
      <c r="F50" s="6" t="n">
        <v>2023</v>
      </c>
      <c r="G50" s="6"/>
      <c r="H50" s="6" t="s">
        <v>371</v>
      </c>
      <c r="I50" s="6"/>
      <c r="J50" s="6" t="s">
        <v>133</v>
      </c>
      <c r="K50" s="6" t="s">
        <v>77</v>
      </c>
      <c r="L50" s="6"/>
      <c r="M50" s="6"/>
      <c r="N50" s="6"/>
      <c r="O50" s="6"/>
      <c r="P50" s="6"/>
      <c r="Q50" s="6"/>
      <c r="R50" s="6" t="s">
        <v>187</v>
      </c>
    </row>
    <row r="51" customFormat="false" ht="15" hidden="false" customHeight="false" outlineLevel="0" collapsed="false">
      <c r="A51" s="6" t="s">
        <v>372</v>
      </c>
      <c r="B51" s="6" t="s">
        <v>174</v>
      </c>
      <c r="C51" s="6" t="s">
        <v>57</v>
      </c>
      <c r="D51" s="6" t="s">
        <v>373</v>
      </c>
      <c r="E51" s="6" t="s">
        <v>374</v>
      </c>
      <c r="F51" s="6" t="n">
        <v>2025</v>
      </c>
      <c r="G51" s="6"/>
      <c r="H51" s="6" t="s">
        <v>375</v>
      </c>
      <c r="I51" s="6"/>
      <c r="J51" s="6" t="s">
        <v>133</v>
      </c>
      <c r="K51" s="6" t="s">
        <v>77</v>
      </c>
      <c r="L51" s="6"/>
      <c r="M51" s="6"/>
      <c r="N51" s="6"/>
      <c r="O51" s="6"/>
      <c r="P51" s="6"/>
      <c r="Q51" s="6"/>
      <c r="R51" s="6" t="s">
        <v>187</v>
      </c>
    </row>
    <row r="52" customFormat="false" ht="15" hidden="false" customHeight="false" outlineLevel="0" collapsed="false">
      <c r="A52" s="6" t="s">
        <v>376</v>
      </c>
      <c r="B52" s="6" t="s">
        <v>174</v>
      </c>
      <c r="C52" s="6" t="s">
        <v>57</v>
      </c>
      <c r="D52" s="6" t="s">
        <v>377</v>
      </c>
      <c r="E52" s="6" t="s">
        <v>378</v>
      </c>
      <c r="F52" s="6" t="n">
        <v>2018</v>
      </c>
      <c r="G52" s="6"/>
      <c r="H52" s="6" t="s">
        <v>379</v>
      </c>
      <c r="I52" s="6"/>
      <c r="J52" s="6" t="s">
        <v>133</v>
      </c>
      <c r="K52" s="6" t="s">
        <v>77</v>
      </c>
      <c r="L52" s="6"/>
      <c r="M52" s="6"/>
      <c r="N52" s="6"/>
      <c r="O52" s="6"/>
      <c r="P52" s="6"/>
      <c r="Q52" s="6"/>
      <c r="R52" s="6" t="s">
        <v>187</v>
      </c>
    </row>
    <row r="53" customFormat="false" ht="15" hidden="false" customHeight="false" outlineLevel="0" collapsed="false">
      <c r="A53" s="6" t="s">
        <v>380</v>
      </c>
      <c r="B53" s="6" t="s">
        <v>174</v>
      </c>
      <c r="C53" s="6" t="s">
        <v>57</v>
      </c>
      <c r="D53" s="6" t="s">
        <v>381</v>
      </c>
      <c r="E53" s="6" t="s">
        <v>382</v>
      </c>
      <c r="F53" s="6" t="n">
        <v>2022</v>
      </c>
      <c r="G53" s="6"/>
      <c r="H53" s="6" t="s">
        <v>383</v>
      </c>
      <c r="I53" s="6"/>
      <c r="J53" s="6" t="s">
        <v>152</v>
      </c>
      <c r="K53" s="6"/>
      <c r="L53" s="6" t="s">
        <v>120</v>
      </c>
      <c r="M53" s="6"/>
      <c r="N53" s="6" t="s">
        <v>384</v>
      </c>
      <c r="O53" s="6" t="s">
        <v>272</v>
      </c>
      <c r="P53" s="6" t="s">
        <v>385</v>
      </c>
      <c r="Q53" s="6" t="s">
        <v>137</v>
      </c>
      <c r="R53" s="6" t="s">
        <v>386</v>
      </c>
      <c r="S53" s="6" t="s">
        <v>182</v>
      </c>
    </row>
    <row r="54" customFormat="false" ht="15" hidden="false" customHeight="false" outlineLevel="0" collapsed="false">
      <c r="A54" s="6" t="s">
        <v>387</v>
      </c>
      <c r="B54" s="6" t="s">
        <v>174</v>
      </c>
      <c r="C54" s="6" t="s">
        <v>57</v>
      </c>
      <c r="D54" s="6" t="s">
        <v>388</v>
      </c>
      <c r="E54" s="6" t="s">
        <v>389</v>
      </c>
      <c r="F54" s="6" t="n">
        <v>2022</v>
      </c>
      <c r="G54" s="6"/>
      <c r="H54" s="6" t="s">
        <v>390</v>
      </c>
      <c r="I54" s="6"/>
      <c r="J54" s="6" t="s">
        <v>133</v>
      </c>
      <c r="K54" s="6" t="s">
        <v>77</v>
      </c>
      <c r="L54" s="6"/>
      <c r="M54" s="6"/>
      <c r="N54" s="6"/>
      <c r="O54" s="6"/>
      <c r="P54" s="6"/>
      <c r="Q54" s="6"/>
      <c r="R54" s="6" t="s">
        <v>187</v>
      </c>
    </row>
    <row r="55" customFormat="false" ht="15" hidden="false" customHeight="false" outlineLevel="0" collapsed="false">
      <c r="A55" s="6" t="s">
        <v>391</v>
      </c>
      <c r="B55" s="6" t="s">
        <v>174</v>
      </c>
      <c r="C55" s="6" t="s">
        <v>57</v>
      </c>
      <c r="D55" s="6" t="s">
        <v>392</v>
      </c>
      <c r="E55" s="6" t="s">
        <v>393</v>
      </c>
      <c r="F55" s="6" t="n">
        <v>2022</v>
      </c>
      <c r="G55" s="6"/>
      <c r="H55" s="6" t="s">
        <v>394</v>
      </c>
      <c r="I55" s="6"/>
      <c r="J55" s="6" t="s">
        <v>133</v>
      </c>
      <c r="K55" s="6" t="s">
        <v>77</v>
      </c>
      <c r="L55" s="6"/>
      <c r="M55" s="6"/>
      <c r="N55" s="6"/>
      <c r="O55" s="6"/>
      <c r="P55" s="6"/>
      <c r="Q55" s="6"/>
      <c r="R55" s="6" t="s">
        <v>187</v>
      </c>
    </row>
    <row r="56" customFormat="false" ht="15" hidden="false" customHeight="false" outlineLevel="0" collapsed="false">
      <c r="A56" s="6" t="s">
        <v>395</v>
      </c>
      <c r="B56" s="6" t="s">
        <v>174</v>
      </c>
      <c r="C56" s="6" t="s">
        <v>57</v>
      </c>
      <c r="D56" s="6" t="s">
        <v>396</v>
      </c>
      <c r="E56" s="6" t="s">
        <v>397</v>
      </c>
      <c r="F56" s="6" t="n">
        <v>2026</v>
      </c>
      <c r="G56" s="6"/>
      <c r="H56" s="6" t="s">
        <v>398</v>
      </c>
      <c r="I56" s="6"/>
      <c r="J56" s="6" t="s">
        <v>133</v>
      </c>
      <c r="K56" s="6" t="s">
        <v>77</v>
      </c>
      <c r="L56" s="6"/>
      <c r="M56" s="6"/>
      <c r="N56" s="6"/>
      <c r="O56" s="6"/>
      <c r="P56" s="6"/>
      <c r="Q56" s="6"/>
      <c r="R56" s="6" t="s">
        <v>187</v>
      </c>
    </row>
    <row r="57" customFormat="false" ht="15" hidden="false" customHeight="false" outlineLevel="0" collapsed="false">
      <c r="A57" s="6" t="s">
        <v>399</v>
      </c>
      <c r="B57" s="6" t="s">
        <v>174</v>
      </c>
      <c r="C57" s="6" t="s">
        <v>57</v>
      </c>
      <c r="D57" s="6" t="s">
        <v>400</v>
      </c>
      <c r="E57" s="6" t="s">
        <v>401</v>
      </c>
      <c r="F57" s="6" t="n">
        <v>2019</v>
      </c>
      <c r="G57" s="6"/>
      <c r="H57" s="6" t="s">
        <v>402</v>
      </c>
      <c r="I57" s="6"/>
      <c r="J57" s="6" t="s">
        <v>133</v>
      </c>
      <c r="K57" s="6" t="s">
        <v>77</v>
      </c>
      <c r="L57" s="6"/>
      <c r="M57" s="6"/>
      <c r="N57" s="6"/>
      <c r="O57" s="6"/>
      <c r="P57" s="6"/>
      <c r="Q57" s="6"/>
      <c r="R57" s="6" t="s">
        <v>187</v>
      </c>
    </row>
    <row r="58" customFormat="false" ht="15" hidden="false" customHeight="false" outlineLevel="0" collapsed="false">
      <c r="A58" s="6" t="s">
        <v>403</v>
      </c>
      <c r="B58" s="6" t="s">
        <v>174</v>
      </c>
      <c r="C58" s="6" t="s">
        <v>57</v>
      </c>
      <c r="D58" s="6" t="s">
        <v>404</v>
      </c>
      <c r="E58" s="6" t="s">
        <v>405</v>
      </c>
      <c r="F58" s="6" t="n">
        <v>2023</v>
      </c>
      <c r="G58" s="6"/>
      <c r="H58" s="6" t="s">
        <v>406</v>
      </c>
      <c r="I58" s="6"/>
      <c r="J58" s="6" t="s">
        <v>120</v>
      </c>
      <c r="K58" s="6"/>
      <c r="L58" s="6" t="s">
        <v>120</v>
      </c>
      <c r="M58" s="6"/>
      <c r="N58" s="6" t="s">
        <v>407</v>
      </c>
      <c r="O58" s="6" t="s">
        <v>135</v>
      </c>
      <c r="P58" s="6" t="s">
        <v>408</v>
      </c>
      <c r="Q58" s="6" t="s">
        <v>137</v>
      </c>
      <c r="R58" s="6" t="s">
        <v>409</v>
      </c>
      <c r="S58" s="6" t="s">
        <v>126</v>
      </c>
    </row>
    <row r="59" customFormat="false" ht="15" hidden="false" customHeight="false" outlineLevel="0" collapsed="false">
      <c r="A59" s="6" t="s">
        <v>410</v>
      </c>
      <c r="B59" s="6" t="s">
        <v>174</v>
      </c>
      <c r="C59" s="6" t="s">
        <v>57</v>
      </c>
      <c r="D59" s="6" t="s">
        <v>411</v>
      </c>
      <c r="E59" s="6" t="s">
        <v>412</v>
      </c>
      <c r="F59" s="6" t="n">
        <v>2026</v>
      </c>
      <c r="G59" s="6"/>
      <c r="H59" s="6" t="s">
        <v>413</v>
      </c>
      <c r="I59" s="6"/>
      <c r="J59" s="6" t="s">
        <v>133</v>
      </c>
      <c r="K59" s="6" t="s">
        <v>77</v>
      </c>
      <c r="L59" s="6"/>
      <c r="M59" s="6"/>
      <c r="N59" s="6"/>
      <c r="O59" s="6"/>
      <c r="P59" s="6"/>
      <c r="Q59" s="6"/>
      <c r="R59" s="6" t="s">
        <v>187</v>
      </c>
    </row>
    <row r="60" customFormat="false" ht="15" hidden="false" customHeight="false" outlineLevel="0" collapsed="false">
      <c r="A60" s="6" t="s">
        <v>414</v>
      </c>
      <c r="B60" s="6" t="s">
        <v>174</v>
      </c>
      <c r="C60" s="6" t="s">
        <v>57</v>
      </c>
      <c r="D60" s="6" t="s">
        <v>415</v>
      </c>
      <c r="E60" s="6" t="s">
        <v>416</v>
      </c>
      <c r="F60" s="6" t="n">
        <v>2025</v>
      </c>
      <c r="G60" s="6"/>
      <c r="H60" s="6" t="s">
        <v>417</v>
      </c>
      <c r="I60" s="6"/>
      <c r="J60" s="6" t="s">
        <v>133</v>
      </c>
      <c r="K60" s="6" t="s">
        <v>77</v>
      </c>
      <c r="L60" s="6"/>
      <c r="M60" s="6"/>
      <c r="N60" s="6"/>
      <c r="O60" s="6"/>
      <c r="P60" s="6"/>
      <c r="Q60" s="6"/>
      <c r="R60" s="6" t="s">
        <v>187</v>
      </c>
    </row>
    <row r="61" customFormat="false" ht="15" hidden="false" customHeight="false" outlineLevel="0" collapsed="false">
      <c r="A61" s="6" t="s">
        <v>418</v>
      </c>
      <c r="B61" s="6" t="s">
        <v>174</v>
      </c>
      <c r="C61" s="6" t="s">
        <v>57</v>
      </c>
      <c r="D61" s="6" t="s">
        <v>419</v>
      </c>
      <c r="E61" s="6" t="s">
        <v>420</v>
      </c>
      <c r="F61" s="6" t="n">
        <v>2023</v>
      </c>
      <c r="G61" s="6"/>
      <c r="H61" s="6" t="s">
        <v>421</v>
      </c>
      <c r="I61" s="6"/>
      <c r="J61" s="6" t="s">
        <v>133</v>
      </c>
      <c r="K61" s="6" t="s">
        <v>77</v>
      </c>
      <c r="L61" s="6"/>
      <c r="M61" s="6"/>
      <c r="N61" s="6"/>
      <c r="O61" s="6"/>
      <c r="P61" s="6"/>
      <c r="Q61" s="6"/>
      <c r="R61" s="6" t="s">
        <v>187</v>
      </c>
    </row>
    <row r="62" customFormat="false" ht="15" hidden="false" customHeight="false" outlineLevel="0" collapsed="false">
      <c r="A62" s="6" t="s">
        <v>422</v>
      </c>
      <c r="B62" s="6" t="s">
        <v>174</v>
      </c>
      <c r="C62" s="6" t="s">
        <v>57</v>
      </c>
      <c r="D62" s="6" t="s">
        <v>423</v>
      </c>
      <c r="E62" s="6" t="s">
        <v>424</v>
      </c>
      <c r="F62" s="6" t="n">
        <v>2012</v>
      </c>
      <c r="G62" s="6"/>
      <c r="H62" s="6"/>
      <c r="I62" s="6"/>
      <c r="J62" s="6" t="s">
        <v>133</v>
      </c>
      <c r="K62" s="6" t="s">
        <v>77</v>
      </c>
      <c r="L62" s="6"/>
      <c r="M62" s="6"/>
      <c r="N62" s="6"/>
      <c r="O62" s="6"/>
      <c r="P62" s="6"/>
      <c r="Q62" s="6"/>
      <c r="R62" s="6" t="s">
        <v>187</v>
      </c>
    </row>
    <row r="63" customFormat="false" ht="15" hidden="false" customHeight="false" outlineLevel="0" collapsed="false">
      <c r="A63" s="6" t="s">
        <v>425</v>
      </c>
      <c r="B63" s="6" t="s">
        <v>174</v>
      </c>
      <c r="C63" s="6" t="s">
        <v>57</v>
      </c>
      <c r="D63" s="6" t="s">
        <v>426</v>
      </c>
      <c r="E63" s="6" t="s">
        <v>427</v>
      </c>
      <c r="F63" s="6" t="n">
        <v>2026</v>
      </c>
      <c r="G63" s="6"/>
      <c r="H63" s="6" t="s">
        <v>428</v>
      </c>
      <c r="I63" s="6"/>
      <c r="J63" s="6" t="s">
        <v>120</v>
      </c>
      <c r="K63" s="6"/>
      <c r="L63" s="6" t="s">
        <v>120</v>
      </c>
      <c r="M63" s="6"/>
      <c r="N63" s="6" t="s">
        <v>429</v>
      </c>
      <c r="O63" s="6" t="s">
        <v>135</v>
      </c>
      <c r="P63" s="6" t="s">
        <v>310</v>
      </c>
      <c r="Q63" s="6" t="s">
        <v>137</v>
      </c>
      <c r="R63" s="6" t="s">
        <v>430</v>
      </c>
      <c r="S63" s="6" t="s">
        <v>182</v>
      </c>
    </row>
    <row r="64" customFormat="false" ht="15" hidden="false" customHeight="false" outlineLevel="0" collapsed="false">
      <c r="A64" s="6" t="s">
        <v>431</v>
      </c>
      <c r="B64" s="6" t="s">
        <v>174</v>
      </c>
      <c r="C64" s="6" t="s">
        <v>57</v>
      </c>
      <c r="D64" s="6" t="s">
        <v>432</v>
      </c>
      <c r="E64" s="6" t="s">
        <v>433</v>
      </c>
      <c r="F64" s="6" t="n">
        <v>2021</v>
      </c>
      <c r="G64" s="6"/>
      <c r="H64" s="6" t="s">
        <v>434</v>
      </c>
      <c r="I64" s="6"/>
      <c r="J64" s="6" t="s">
        <v>133</v>
      </c>
      <c r="K64" s="6" t="s">
        <v>77</v>
      </c>
      <c r="L64" s="6"/>
      <c r="M64" s="6"/>
      <c r="N64" s="6"/>
      <c r="O64" s="6"/>
      <c r="P64" s="6"/>
      <c r="Q64" s="6"/>
      <c r="R64" s="6" t="s">
        <v>187</v>
      </c>
    </row>
    <row r="65" customFormat="false" ht="15" hidden="false" customHeight="false" outlineLevel="0" collapsed="false">
      <c r="A65" s="6" t="s">
        <v>435</v>
      </c>
      <c r="B65" s="6" t="s">
        <v>174</v>
      </c>
      <c r="C65" s="6" t="s">
        <v>57</v>
      </c>
      <c r="D65" s="6" t="s">
        <v>436</v>
      </c>
      <c r="E65" s="6" t="s">
        <v>437</v>
      </c>
      <c r="F65" s="6" t="n">
        <v>2021</v>
      </c>
      <c r="G65" s="6"/>
      <c r="H65" s="6" t="s">
        <v>438</v>
      </c>
      <c r="I65" s="6"/>
      <c r="J65" s="6" t="s">
        <v>133</v>
      </c>
      <c r="K65" s="6" t="s">
        <v>77</v>
      </c>
      <c r="L65" s="6"/>
      <c r="M65" s="6"/>
      <c r="N65" s="6"/>
      <c r="O65" s="6"/>
      <c r="P65" s="6"/>
      <c r="Q65" s="6"/>
      <c r="R65" s="6" t="s">
        <v>187</v>
      </c>
    </row>
    <row r="66" customFormat="false" ht="15" hidden="false" customHeight="false" outlineLevel="0" collapsed="false">
      <c r="A66" s="6" t="s">
        <v>439</v>
      </c>
      <c r="B66" s="6" t="s">
        <v>174</v>
      </c>
      <c r="C66" s="6" t="s">
        <v>57</v>
      </c>
      <c r="D66" s="6" t="s">
        <v>440</v>
      </c>
      <c r="E66" s="6" t="s">
        <v>441</v>
      </c>
      <c r="F66" s="6" t="n">
        <v>2024</v>
      </c>
      <c r="G66" s="6"/>
      <c r="H66" s="6" t="s">
        <v>442</v>
      </c>
      <c r="I66" s="6"/>
      <c r="J66" s="6" t="s">
        <v>133</v>
      </c>
      <c r="K66" s="6" t="s">
        <v>77</v>
      </c>
      <c r="L66" s="6"/>
      <c r="M66" s="6"/>
      <c r="N66" s="6"/>
      <c r="O66" s="6"/>
      <c r="P66" s="6"/>
      <c r="Q66" s="6"/>
      <c r="R66" s="6" t="s">
        <v>187</v>
      </c>
    </row>
    <row r="67" customFormat="false" ht="15" hidden="false" customHeight="false" outlineLevel="0" collapsed="false">
      <c r="A67" s="6" t="s">
        <v>443</v>
      </c>
      <c r="B67" s="6" t="s">
        <v>174</v>
      </c>
      <c r="C67" s="6" t="s">
        <v>57</v>
      </c>
      <c r="D67" s="6" t="s">
        <v>444</v>
      </c>
      <c r="E67" s="6" t="s">
        <v>445</v>
      </c>
      <c r="F67" s="6" t="n">
        <v>2020</v>
      </c>
      <c r="G67" s="6"/>
      <c r="H67" s="6" t="s">
        <v>446</v>
      </c>
      <c r="I67" s="6"/>
      <c r="J67" s="6" t="s">
        <v>133</v>
      </c>
      <c r="K67" s="6" t="s">
        <v>77</v>
      </c>
      <c r="L67" s="6"/>
      <c r="M67" s="6"/>
      <c r="N67" s="6"/>
      <c r="O67" s="6"/>
      <c r="P67" s="6"/>
      <c r="Q67" s="6"/>
      <c r="R67" s="6" t="s">
        <v>187</v>
      </c>
    </row>
    <row r="68" customFormat="false" ht="15" hidden="false" customHeight="false" outlineLevel="0" collapsed="false">
      <c r="A68" s="6" t="s">
        <v>447</v>
      </c>
      <c r="B68" s="6" t="s">
        <v>174</v>
      </c>
      <c r="C68" s="6" t="s">
        <v>57</v>
      </c>
      <c r="D68" s="6" t="s">
        <v>448</v>
      </c>
      <c r="E68" s="6" t="s">
        <v>449</v>
      </c>
      <c r="F68" s="6" t="n">
        <v>2019</v>
      </c>
      <c r="G68" s="6"/>
      <c r="H68" s="6" t="s">
        <v>450</v>
      </c>
      <c r="I68" s="6"/>
      <c r="J68" s="6" t="s">
        <v>133</v>
      </c>
      <c r="K68" s="6" t="s">
        <v>77</v>
      </c>
      <c r="L68" s="6"/>
      <c r="M68" s="6"/>
      <c r="N68" s="6"/>
      <c r="O68" s="6"/>
      <c r="P68" s="6"/>
      <c r="Q68" s="6"/>
      <c r="R68" s="6" t="s">
        <v>187</v>
      </c>
    </row>
    <row r="69" customFormat="false" ht="15" hidden="false" customHeight="false" outlineLevel="0" collapsed="false">
      <c r="A69" s="6" t="s">
        <v>451</v>
      </c>
      <c r="B69" s="6" t="s">
        <v>174</v>
      </c>
      <c r="C69" s="6" t="s">
        <v>57</v>
      </c>
      <c r="D69" s="6" t="s">
        <v>452</v>
      </c>
      <c r="E69" s="6" t="s">
        <v>453</v>
      </c>
      <c r="F69" s="6" t="n">
        <v>2025</v>
      </c>
      <c r="G69" s="6"/>
      <c r="H69" s="6" t="s">
        <v>454</v>
      </c>
      <c r="I69" s="6"/>
      <c r="J69" s="6" t="s">
        <v>133</v>
      </c>
      <c r="K69" s="6" t="s">
        <v>77</v>
      </c>
      <c r="L69" s="6"/>
      <c r="M69" s="6"/>
      <c r="N69" s="6"/>
      <c r="O69" s="6"/>
      <c r="P69" s="6"/>
      <c r="Q69" s="6"/>
      <c r="R69" s="6" t="s">
        <v>187</v>
      </c>
    </row>
    <row r="70" customFormat="false" ht="15" hidden="false" customHeight="false" outlineLevel="0" collapsed="false">
      <c r="A70" s="6" t="s">
        <v>455</v>
      </c>
      <c r="B70" s="6" t="s">
        <v>174</v>
      </c>
      <c r="C70" s="6" t="s">
        <v>57</v>
      </c>
      <c r="D70" s="6" t="s">
        <v>456</v>
      </c>
      <c r="E70" s="6" t="s">
        <v>457</v>
      </c>
      <c r="F70" s="6" t="n">
        <v>2025</v>
      </c>
      <c r="G70" s="6"/>
      <c r="H70" s="6" t="s">
        <v>458</v>
      </c>
      <c r="I70" s="6"/>
      <c r="J70" s="6" t="s">
        <v>133</v>
      </c>
      <c r="K70" s="6" t="s">
        <v>77</v>
      </c>
      <c r="L70" s="6"/>
      <c r="M70" s="6"/>
      <c r="N70" s="6"/>
      <c r="O70" s="6"/>
      <c r="P70" s="6"/>
      <c r="Q70" s="6"/>
      <c r="R70" s="6" t="s">
        <v>187</v>
      </c>
    </row>
    <row r="71" customFormat="false" ht="15" hidden="false" customHeight="false" outlineLevel="0" collapsed="false">
      <c r="A71" s="6" t="s">
        <v>459</v>
      </c>
      <c r="B71" s="6" t="s">
        <v>174</v>
      </c>
      <c r="C71" s="6" t="s">
        <v>57</v>
      </c>
      <c r="D71" s="6" t="s">
        <v>460</v>
      </c>
      <c r="E71" s="6" t="s">
        <v>461</v>
      </c>
      <c r="F71" s="6" t="n">
        <v>2026</v>
      </c>
      <c r="G71" s="6"/>
      <c r="H71" s="6" t="s">
        <v>462</v>
      </c>
      <c r="I71" s="6"/>
      <c r="J71" s="6" t="s">
        <v>133</v>
      </c>
      <c r="K71" s="6" t="s">
        <v>77</v>
      </c>
      <c r="L71" s="6"/>
      <c r="M71" s="6"/>
      <c r="N71" s="6"/>
      <c r="O71" s="6"/>
      <c r="P71" s="6"/>
      <c r="Q71" s="6"/>
      <c r="R71" s="6" t="s">
        <v>187</v>
      </c>
    </row>
    <row r="72" customFormat="false" ht="15" hidden="false" customHeight="false" outlineLevel="0" collapsed="false">
      <c r="A72" s="6" t="s">
        <v>463</v>
      </c>
      <c r="B72" s="6" t="s">
        <v>174</v>
      </c>
      <c r="C72" s="6" t="s">
        <v>57</v>
      </c>
      <c r="D72" s="6" t="s">
        <v>464</v>
      </c>
      <c r="E72" s="6" t="s">
        <v>465</v>
      </c>
      <c r="F72" s="6" t="n">
        <v>2026</v>
      </c>
      <c r="G72" s="6"/>
      <c r="H72" s="6" t="s">
        <v>466</v>
      </c>
      <c r="I72" s="6"/>
      <c r="J72" s="6" t="s">
        <v>133</v>
      </c>
      <c r="K72" s="6" t="s">
        <v>77</v>
      </c>
      <c r="L72" s="6"/>
      <c r="M72" s="6"/>
      <c r="N72" s="6"/>
      <c r="O72" s="6"/>
      <c r="P72" s="6"/>
      <c r="Q72" s="6"/>
      <c r="R72" s="6" t="s">
        <v>187</v>
      </c>
    </row>
    <row r="73" customFormat="false" ht="15" hidden="false" customHeight="false" outlineLevel="0" collapsed="false">
      <c r="A73" s="6" t="s">
        <v>467</v>
      </c>
      <c r="B73" s="6" t="s">
        <v>174</v>
      </c>
      <c r="C73" s="6" t="s">
        <v>57</v>
      </c>
      <c r="D73" s="6" t="s">
        <v>468</v>
      </c>
      <c r="E73" s="6" t="s">
        <v>469</v>
      </c>
      <c r="F73" s="6" t="n">
        <v>2015</v>
      </c>
      <c r="G73" s="6"/>
      <c r="H73" s="6" t="s">
        <v>470</v>
      </c>
      <c r="I73" s="6"/>
      <c r="J73" s="6" t="s">
        <v>133</v>
      </c>
      <c r="K73" s="6" t="s">
        <v>77</v>
      </c>
      <c r="L73" s="6"/>
      <c r="M73" s="6"/>
      <c r="N73" s="6"/>
      <c r="O73" s="6"/>
      <c r="P73" s="6"/>
      <c r="Q73" s="6"/>
      <c r="R73" s="6" t="s">
        <v>187</v>
      </c>
    </row>
    <row r="74" customFormat="false" ht="15" hidden="false" customHeight="false" outlineLevel="0" collapsed="false">
      <c r="A74" s="6" t="s">
        <v>471</v>
      </c>
      <c r="B74" s="6" t="s">
        <v>174</v>
      </c>
      <c r="C74" s="6" t="s">
        <v>57</v>
      </c>
      <c r="D74" s="6" t="s">
        <v>472</v>
      </c>
      <c r="E74" s="6" t="s">
        <v>473</v>
      </c>
      <c r="F74" s="6" t="n">
        <v>2026</v>
      </c>
      <c r="G74" s="6"/>
      <c r="H74" s="6" t="s">
        <v>474</v>
      </c>
      <c r="I74" s="6"/>
      <c r="J74" s="6" t="s">
        <v>133</v>
      </c>
      <c r="K74" s="6" t="s">
        <v>77</v>
      </c>
      <c r="L74" s="6"/>
      <c r="M74" s="6"/>
      <c r="N74" s="6"/>
      <c r="O74" s="6"/>
      <c r="P74" s="6"/>
      <c r="Q74" s="6"/>
      <c r="R74" s="6" t="s">
        <v>187</v>
      </c>
    </row>
    <row r="75" customFormat="false" ht="15" hidden="false" customHeight="false" outlineLevel="0" collapsed="false">
      <c r="A75" s="6" t="s">
        <v>475</v>
      </c>
      <c r="B75" s="6" t="s">
        <v>174</v>
      </c>
      <c r="C75" s="6" t="s">
        <v>57</v>
      </c>
      <c r="D75" s="6" t="s">
        <v>476</v>
      </c>
      <c r="E75" s="6" t="s">
        <v>477</v>
      </c>
      <c r="F75" s="6" t="n">
        <v>2023</v>
      </c>
      <c r="G75" s="6"/>
      <c r="H75" s="6" t="s">
        <v>478</v>
      </c>
      <c r="I75" s="6"/>
      <c r="J75" s="6" t="s">
        <v>133</v>
      </c>
      <c r="K75" s="6" t="s">
        <v>77</v>
      </c>
      <c r="L75" s="6"/>
      <c r="M75" s="6"/>
      <c r="N75" s="6"/>
      <c r="O75" s="6"/>
      <c r="P75" s="6"/>
      <c r="Q75" s="6"/>
      <c r="R75" s="6" t="s">
        <v>187</v>
      </c>
    </row>
    <row r="76" customFormat="false" ht="15" hidden="false" customHeight="false" outlineLevel="0" collapsed="false">
      <c r="A76" s="6" t="s">
        <v>479</v>
      </c>
      <c r="B76" s="6" t="s">
        <v>174</v>
      </c>
      <c r="C76" s="6" t="s">
        <v>57</v>
      </c>
      <c r="D76" s="6" t="s">
        <v>480</v>
      </c>
      <c r="E76" s="6" t="s">
        <v>481</v>
      </c>
      <c r="F76" s="6" t="n">
        <v>2024</v>
      </c>
      <c r="G76" s="6"/>
      <c r="H76" s="6" t="s">
        <v>482</v>
      </c>
      <c r="I76" s="6"/>
      <c r="J76" s="6" t="s">
        <v>152</v>
      </c>
      <c r="K76" s="6"/>
      <c r="L76" s="6" t="s">
        <v>120</v>
      </c>
      <c r="M76" s="6"/>
      <c r="N76" s="6" t="s">
        <v>483</v>
      </c>
      <c r="O76" s="6" t="s">
        <v>272</v>
      </c>
      <c r="P76" s="6" t="s">
        <v>484</v>
      </c>
      <c r="Q76" s="6" t="s">
        <v>124</v>
      </c>
      <c r="R76" s="6" t="s">
        <v>485</v>
      </c>
      <c r="S76" s="6" t="s">
        <v>126</v>
      </c>
    </row>
    <row r="77" customFormat="false" ht="15" hidden="false" customHeight="false" outlineLevel="0" collapsed="false">
      <c r="A77" s="6" t="s">
        <v>486</v>
      </c>
      <c r="B77" s="6" t="s">
        <v>174</v>
      </c>
      <c r="C77" s="6" t="s">
        <v>57</v>
      </c>
      <c r="D77" s="6" t="s">
        <v>487</v>
      </c>
      <c r="E77" s="6" t="s">
        <v>488</v>
      </c>
      <c r="F77" s="6" t="n">
        <v>2021</v>
      </c>
      <c r="G77" s="6"/>
      <c r="H77" s="6" t="s">
        <v>489</v>
      </c>
      <c r="I77" s="6"/>
      <c r="J77" s="6" t="s">
        <v>133</v>
      </c>
      <c r="K77" s="6" t="s">
        <v>77</v>
      </c>
      <c r="L77" s="6"/>
      <c r="M77" s="6"/>
      <c r="N77" s="6"/>
      <c r="O77" s="6"/>
      <c r="P77" s="6"/>
      <c r="Q77" s="6"/>
      <c r="R77" s="6" t="s">
        <v>187</v>
      </c>
    </row>
    <row r="78" customFormat="false" ht="15" hidden="false" customHeight="false" outlineLevel="0" collapsed="false">
      <c r="A78" s="6" t="s">
        <v>490</v>
      </c>
      <c r="B78" s="6" t="s">
        <v>174</v>
      </c>
      <c r="C78" s="6" t="s">
        <v>57</v>
      </c>
      <c r="D78" s="6" t="s">
        <v>491</v>
      </c>
      <c r="E78" s="6" t="s">
        <v>492</v>
      </c>
      <c r="F78" s="6" t="n">
        <v>2024</v>
      </c>
      <c r="G78" s="6"/>
      <c r="H78" s="6" t="s">
        <v>493</v>
      </c>
      <c r="I78" s="6"/>
      <c r="J78" s="6" t="s">
        <v>133</v>
      </c>
      <c r="K78" s="6" t="s">
        <v>77</v>
      </c>
      <c r="L78" s="6"/>
      <c r="M78" s="6"/>
      <c r="N78" s="6"/>
      <c r="O78" s="6"/>
      <c r="P78" s="6"/>
      <c r="Q78" s="6"/>
      <c r="R78" s="6" t="s">
        <v>187</v>
      </c>
    </row>
    <row r="79" customFormat="false" ht="15" hidden="false" customHeight="false" outlineLevel="0" collapsed="false">
      <c r="A79" s="6" t="s">
        <v>494</v>
      </c>
      <c r="B79" s="6" t="s">
        <v>174</v>
      </c>
      <c r="C79" s="6" t="s">
        <v>57</v>
      </c>
      <c r="D79" s="6" t="s">
        <v>495</v>
      </c>
      <c r="E79" s="6" t="s">
        <v>496</v>
      </c>
      <c r="F79" s="6" t="n">
        <v>2019</v>
      </c>
      <c r="G79" s="6"/>
      <c r="H79" s="6" t="s">
        <v>497</v>
      </c>
      <c r="I79" s="6"/>
      <c r="J79" s="6" t="s">
        <v>133</v>
      </c>
      <c r="K79" s="6" t="s">
        <v>77</v>
      </c>
      <c r="L79" s="6"/>
      <c r="M79" s="6"/>
      <c r="N79" s="6"/>
      <c r="O79" s="6"/>
      <c r="P79" s="6"/>
      <c r="Q79" s="6"/>
      <c r="R79" s="6" t="s">
        <v>187</v>
      </c>
    </row>
    <row r="80" customFormat="false" ht="15" hidden="false" customHeight="false" outlineLevel="0" collapsed="false">
      <c r="A80" s="6" t="s">
        <v>498</v>
      </c>
      <c r="B80" s="6" t="s">
        <v>174</v>
      </c>
      <c r="C80" s="6" t="s">
        <v>57</v>
      </c>
      <c r="D80" s="6" t="s">
        <v>499</v>
      </c>
      <c r="E80" s="6" t="s">
        <v>500</v>
      </c>
      <c r="F80" s="6" t="n">
        <v>2022</v>
      </c>
      <c r="G80" s="6"/>
      <c r="H80" s="6" t="s">
        <v>501</v>
      </c>
      <c r="I80" s="6"/>
      <c r="J80" s="6" t="s">
        <v>133</v>
      </c>
      <c r="K80" s="6" t="s">
        <v>77</v>
      </c>
      <c r="L80" s="6"/>
      <c r="M80" s="6"/>
      <c r="N80" s="6"/>
      <c r="O80" s="6"/>
      <c r="P80" s="6"/>
      <c r="Q80" s="6"/>
      <c r="R80" s="6" t="s">
        <v>187</v>
      </c>
    </row>
    <row r="81" customFormat="false" ht="15" hidden="false" customHeight="false" outlineLevel="0" collapsed="false">
      <c r="A81" s="6" t="s">
        <v>502</v>
      </c>
      <c r="B81" s="6" t="s">
        <v>174</v>
      </c>
      <c r="C81" s="6" t="s">
        <v>57</v>
      </c>
      <c r="D81" s="6" t="s">
        <v>503</v>
      </c>
      <c r="E81" s="6" t="s">
        <v>504</v>
      </c>
      <c r="F81" s="6" t="n">
        <v>2022</v>
      </c>
      <c r="G81" s="6"/>
      <c r="H81" s="6" t="s">
        <v>505</v>
      </c>
      <c r="I81" s="6"/>
      <c r="J81" s="6" t="s">
        <v>133</v>
      </c>
      <c r="K81" s="6" t="s">
        <v>77</v>
      </c>
      <c r="L81" s="6"/>
      <c r="M81" s="6"/>
      <c r="N81" s="6"/>
      <c r="O81" s="6"/>
      <c r="P81" s="6"/>
      <c r="Q81" s="6"/>
      <c r="R81" s="6" t="s">
        <v>187</v>
      </c>
    </row>
    <row r="82" customFormat="false" ht="15" hidden="false" customHeight="false" outlineLevel="0" collapsed="false">
      <c r="A82" s="6" t="s">
        <v>506</v>
      </c>
      <c r="B82" s="6" t="s">
        <v>174</v>
      </c>
      <c r="C82" s="6" t="s">
        <v>57</v>
      </c>
      <c r="D82" s="6" t="s">
        <v>507</v>
      </c>
      <c r="E82" s="6" t="s">
        <v>508</v>
      </c>
      <c r="F82" s="6" t="n">
        <v>2026</v>
      </c>
      <c r="G82" s="6"/>
      <c r="H82" s="6" t="s">
        <v>509</v>
      </c>
      <c r="I82" s="6"/>
      <c r="J82" s="6" t="s">
        <v>133</v>
      </c>
      <c r="K82" s="6" t="s">
        <v>77</v>
      </c>
      <c r="L82" s="6"/>
      <c r="M82" s="6"/>
      <c r="N82" s="6"/>
      <c r="O82" s="6"/>
      <c r="P82" s="6"/>
      <c r="Q82" s="6"/>
      <c r="R82" s="6" t="s">
        <v>187</v>
      </c>
    </row>
    <row r="83" customFormat="false" ht="15" hidden="false" customHeight="false" outlineLevel="0" collapsed="false">
      <c r="A83" s="6" t="s">
        <v>510</v>
      </c>
      <c r="B83" s="6" t="s">
        <v>174</v>
      </c>
      <c r="C83" s="6" t="s">
        <v>57</v>
      </c>
      <c r="D83" s="6" t="s">
        <v>511</v>
      </c>
      <c r="E83" s="6" t="s">
        <v>512</v>
      </c>
      <c r="F83" s="6" t="n">
        <v>2025</v>
      </c>
      <c r="G83" s="6"/>
      <c r="H83" s="6" t="s">
        <v>513</v>
      </c>
      <c r="I83" s="6"/>
      <c r="J83" s="6" t="s">
        <v>133</v>
      </c>
      <c r="K83" s="6" t="s">
        <v>77</v>
      </c>
      <c r="L83" s="6"/>
      <c r="M83" s="6"/>
      <c r="N83" s="6"/>
      <c r="O83" s="6"/>
      <c r="P83" s="6"/>
      <c r="Q83" s="6"/>
      <c r="R83" s="6" t="s">
        <v>187</v>
      </c>
    </row>
    <row r="84" customFormat="false" ht="15" hidden="false" customHeight="false" outlineLevel="0" collapsed="false">
      <c r="A84" s="6" t="s">
        <v>514</v>
      </c>
      <c r="B84" s="6" t="s">
        <v>174</v>
      </c>
      <c r="C84" s="6" t="s">
        <v>57</v>
      </c>
      <c r="D84" s="6" t="s">
        <v>515</v>
      </c>
      <c r="E84" s="6" t="s">
        <v>516</v>
      </c>
      <c r="F84" s="6" t="n">
        <v>2024</v>
      </c>
      <c r="G84" s="6"/>
      <c r="H84" s="6" t="s">
        <v>517</v>
      </c>
      <c r="I84" s="6"/>
      <c r="J84" s="6" t="s">
        <v>133</v>
      </c>
      <c r="K84" s="6" t="s">
        <v>77</v>
      </c>
      <c r="L84" s="6"/>
      <c r="M84" s="6"/>
      <c r="N84" s="6"/>
      <c r="O84" s="6"/>
      <c r="P84" s="6"/>
      <c r="Q84" s="6"/>
      <c r="R84" s="6" t="s">
        <v>187</v>
      </c>
    </row>
    <row r="85" customFormat="false" ht="15" hidden="false" customHeight="false" outlineLevel="0" collapsed="false">
      <c r="A85" s="6" t="s">
        <v>518</v>
      </c>
      <c r="B85" s="6" t="s">
        <v>174</v>
      </c>
      <c r="C85" s="6" t="s">
        <v>57</v>
      </c>
      <c r="D85" s="6" t="s">
        <v>519</v>
      </c>
      <c r="E85" s="6" t="s">
        <v>520</v>
      </c>
      <c r="F85" s="6" t="n">
        <v>2025</v>
      </c>
      <c r="G85" s="6"/>
      <c r="H85" s="6" t="s">
        <v>521</v>
      </c>
      <c r="I85" s="6"/>
      <c r="J85" s="6" t="s">
        <v>133</v>
      </c>
      <c r="K85" s="6" t="s">
        <v>77</v>
      </c>
      <c r="L85" s="6"/>
      <c r="M85" s="6"/>
      <c r="N85" s="6"/>
      <c r="O85" s="6"/>
      <c r="P85" s="6"/>
      <c r="Q85" s="6"/>
      <c r="R85" s="6" t="s">
        <v>187</v>
      </c>
    </row>
    <row r="86" customFormat="false" ht="15" hidden="false" customHeight="false" outlineLevel="0" collapsed="false">
      <c r="A86" s="6" t="s">
        <v>522</v>
      </c>
      <c r="B86" s="6" t="s">
        <v>174</v>
      </c>
      <c r="C86" s="6" t="s">
        <v>57</v>
      </c>
      <c r="D86" s="6" t="s">
        <v>523</v>
      </c>
      <c r="E86" s="6" t="s">
        <v>524</v>
      </c>
      <c r="F86" s="6" t="n">
        <v>2023</v>
      </c>
      <c r="G86" s="6"/>
      <c r="H86" s="6" t="s">
        <v>525</v>
      </c>
      <c r="I86" s="6"/>
      <c r="J86" s="6" t="s">
        <v>133</v>
      </c>
      <c r="K86" s="6" t="s">
        <v>77</v>
      </c>
      <c r="L86" s="6"/>
      <c r="M86" s="6"/>
      <c r="N86" s="6"/>
      <c r="O86" s="6"/>
      <c r="P86" s="6"/>
      <c r="Q86" s="6"/>
      <c r="R86" s="6" t="s">
        <v>187</v>
      </c>
    </row>
    <row r="87" customFormat="false" ht="15" hidden="false" customHeight="false" outlineLevel="0" collapsed="false">
      <c r="A87" s="6" t="s">
        <v>526</v>
      </c>
      <c r="B87" s="6" t="s">
        <v>174</v>
      </c>
      <c r="C87" s="6" t="s">
        <v>57</v>
      </c>
      <c r="D87" s="6" t="s">
        <v>527</v>
      </c>
      <c r="E87" s="6" t="s">
        <v>528</v>
      </c>
      <c r="F87" s="6" t="n">
        <v>2026</v>
      </c>
      <c r="G87" s="6"/>
      <c r="H87" s="6" t="s">
        <v>529</v>
      </c>
      <c r="I87" s="6"/>
      <c r="J87" s="6" t="s">
        <v>133</v>
      </c>
      <c r="K87" s="6" t="s">
        <v>77</v>
      </c>
      <c r="L87" s="6"/>
      <c r="M87" s="6"/>
      <c r="N87" s="6"/>
      <c r="O87" s="6"/>
      <c r="P87" s="6"/>
      <c r="Q87" s="6"/>
      <c r="R87" s="6" t="s">
        <v>187</v>
      </c>
    </row>
    <row r="88" customFormat="false" ht="15" hidden="false" customHeight="false" outlineLevel="0" collapsed="false">
      <c r="A88" s="6" t="s">
        <v>530</v>
      </c>
      <c r="B88" s="6" t="s">
        <v>174</v>
      </c>
      <c r="C88" s="6" t="s">
        <v>57</v>
      </c>
      <c r="D88" s="6" t="s">
        <v>531</v>
      </c>
      <c r="E88" s="6" t="s">
        <v>532</v>
      </c>
      <c r="F88" s="6" t="n">
        <v>2026</v>
      </c>
      <c r="G88" s="6"/>
      <c r="H88" s="6" t="s">
        <v>533</v>
      </c>
      <c r="I88" s="6"/>
      <c r="J88" s="6" t="s">
        <v>133</v>
      </c>
      <c r="K88" s="6" t="s">
        <v>77</v>
      </c>
      <c r="L88" s="6"/>
      <c r="M88" s="6"/>
      <c r="N88" s="6"/>
      <c r="O88" s="6"/>
      <c r="P88" s="6"/>
      <c r="Q88" s="6"/>
      <c r="R88" s="6" t="s">
        <v>187</v>
      </c>
    </row>
    <row r="89" customFormat="false" ht="15" hidden="false" customHeight="false" outlineLevel="0" collapsed="false">
      <c r="A89" s="6" t="s">
        <v>534</v>
      </c>
      <c r="B89" s="6" t="s">
        <v>174</v>
      </c>
      <c r="C89" s="6" t="s">
        <v>57</v>
      </c>
      <c r="D89" s="6" t="s">
        <v>535</v>
      </c>
      <c r="E89" s="6" t="s">
        <v>536</v>
      </c>
      <c r="F89" s="6" t="n">
        <v>2014</v>
      </c>
      <c r="G89" s="6"/>
      <c r="H89" s="6"/>
      <c r="I89" s="6"/>
      <c r="J89" s="6" t="s">
        <v>133</v>
      </c>
      <c r="K89" s="6" t="s">
        <v>89</v>
      </c>
      <c r="L89" s="6"/>
      <c r="M89" s="6"/>
      <c r="N89" s="6"/>
      <c r="O89" s="6"/>
      <c r="P89" s="6"/>
      <c r="Q89" s="6"/>
      <c r="R89" s="6" t="s">
        <v>247</v>
      </c>
    </row>
    <row r="90" customFormat="false" ht="15" hidden="false" customHeight="false" outlineLevel="0" collapsed="false">
      <c r="A90" s="6" t="s">
        <v>537</v>
      </c>
      <c r="B90" s="6" t="s">
        <v>174</v>
      </c>
      <c r="C90" s="6" t="s">
        <v>57</v>
      </c>
      <c r="D90" s="6" t="s">
        <v>538</v>
      </c>
      <c r="E90" s="6" t="s">
        <v>539</v>
      </c>
      <c r="F90" s="6" t="n">
        <v>2025</v>
      </c>
      <c r="G90" s="6"/>
      <c r="H90" s="6" t="s">
        <v>540</v>
      </c>
      <c r="I90" s="6"/>
      <c r="J90" s="6" t="s">
        <v>133</v>
      </c>
      <c r="K90" s="6" t="s">
        <v>77</v>
      </c>
      <c r="L90" s="6"/>
      <c r="M90" s="6"/>
      <c r="N90" s="6"/>
      <c r="O90" s="6"/>
      <c r="P90" s="6"/>
      <c r="Q90" s="6"/>
      <c r="R90" s="6" t="s">
        <v>187</v>
      </c>
    </row>
    <row r="91" customFormat="false" ht="15" hidden="false" customHeight="false" outlineLevel="0" collapsed="false">
      <c r="A91" s="6" t="s">
        <v>541</v>
      </c>
      <c r="B91" s="6" t="s">
        <v>174</v>
      </c>
      <c r="C91" s="6" t="s">
        <v>57</v>
      </c>
      <c r="D91" s="6" t="s">
        <v>542</v>
      </c>
      <c r="E91" s="6" t="s">
        <v>543</v>
      </c>
      <c r="F91" s="6" t="n">
        <v>2026</v>
      </c>
      <c r="G91" s="6"/>
      <c r="H91" s="6" t="s">
        <v>544</v>
      </c>
      <c r="I91" s="6"/>
      <c r="J91" s="6" t="s">
        <v>133</v>
      </c>
      <c r="K91" s="6" t="s">
        <v>77</v>
      </c>
      <c r="L91" s="6"/>
      <c r="M91" s="6"/>
      <c r="N91" s="6"/>
      <c r="O91" s="6"/>
      <c r="P91" s="6"/>
      <c r="Q91" s="6"/>
      <c r="R91" s="6" t="s">
        <v>187</v>
      </c>
    </row>
    <row r="92" customFormat="false" ht="15" hidden="false" customHeight="false" outlineLevel="0" collapsed="false">
      <c r="A92" s="6" t="s">
        <v>545</v>
      </c>
      <c r="B92" s="6" t="s">
        <v>174</v>
      </c>
      <c r="C92" s="6" t="s">
        <v>57</v>
      </c>
      <c r="D92" s="6" t="s">
        <v>546</v>
      </c>
      <c r="E92" s="6" t="s">
        <v>547</v>
      </c>
      <c r="F92" s="6" t="n">
        <v>2025</v>
      </c>
      <c r="G92" s="6"/>
      <c r="H92" s="6" t="s">
        <v>548</v>
      </c>
      <c r="I92" s="6"/>
      <c r="J92" s="6" t="s">
        <v>133</v>
      </c>
      <c r="K92" s="6" t="s">
        <v>77</v>
      </c>
      <c r="L92" s="6"/>
      <c r="M92" s="6"/>
      <c r="N92" s="6"/>
      <c r="O92" s="6"/>
      <c r="P92" s="6"/>
      <c r="Q92" s="6"/>
      <c r="R92" s="6" t="s">
        <v>187</v>
      </c>
    </row>
    <row r="93" customFormat="false" ht="15" hidden="false" customHeight="false" outlineLevel="0" collapsed="false">
      <c r="A93" s="6" t="s">
        <v>549</v>
      </c>
      <c r="B93" s="6" t="s">
        <v>174</v>
      </c>
      <c r="C93" s="6" t="s">
        <v>57</v>
      </c>
      <c r="D93" s="6" t="s">
        <v>550</v>
      </c>
      <c r="E93" s="6" t="s">
        <v>551</v>
      </c>
      <c r="F93" s="6" t="n">
        <v>2020</v>
      </c>
      <c r="G93" s="6"/>
      <c r="H93" s="6"/>
      <c r="I93" s="6"/>
      <c r="J93" s="6" t="s">
        <v>133</v>
      </c>
      <c r="K93" s="6" t="s">
        <v>77</v>
      </c>
      <c r="L93" s="6"/>
      <c r="M93" s="6"/>
      <c r="N93" s="6"/>
      <c r="O93" s="6"/>
      <c r="P93" s="6"/>
      <c r="Q93" s="6"/>
      <c r="R93" s="6" t="s">
        <v>187</v>
      </c>
    </row>
    <row r="94" customFormat="false" ht="15" hidden="false" customHeight="false" outlineLevel="0" collapsed="false">
      <c r="A94" s="6" t="s">
        <v>552</v>
      </c>
      <c r="B94" s="6" t="s">
        <v>174</v>
      </c>
      <c r="C94" s="6" t="s">
        <v>57</v>
      </c>
      <c r="D94" s="6" t="s">
        <v>553</v>
      </c>
      <c r="E94" s="6" t="s">
        <v>554</v>
      </c>
      <c r="F94" s="6" t="n">
        <v>2024</v>
      </c>
      <c r="G94" s="6"/>
      <c r="H94" s="6" t="s">
        <v>555</v>
      </c>
      <c r="I94" s="6"/>
      <c r="J94" s="6" t="s">
        <v>133</v>
      </c>
      <c r="K94" s="6" t="s">
        <v>77</v>
      </c>
      <c r="L94" s="6"/>
      <c r="M94" s="6"/>
      <c r="N94" s="6"/>
      <c r="O94" s="6"/>
      <c r="P94" s="6"/>
      <c r="Q94" s="6"/>
      <c r="R94" s="6" t="s">
        <v>187</v>
      </c>
    </row>
    <row r="95" customFormat="false" ht="15" hidden="false" customHeight="false" outlineLevel="0" collapsed="false">
      <c r="A95" s="6" t="s">
        <v>556</v>
      </c>
      <c r="B95" s="6" t="s">
        <v>174</v>
      </c>
      <c r="C95" s="6" t="s">
        <v>57</v>
      </c>
      <c r="D95" s="6" t="s">
        <v>557</v>
      </c>
      <c r="E95" s="6" t="s">
        <v>558</v>
      </c>
      <c r="F95" s="6" t="n">
        <v>2024</v>
      </c>
      <c r="G95" s="6"/>
      <c r="H95" s="6" t="s">
        <v>559</v>
      </c>
      <c r="I95" s="6"/>
      <c r="J95" s="6" t="s">
        <v>133</v>
      </c>
      <c r="K95" s="6" t="s">
        <v>77</v>
      </c>
      <c r="L95" s="6"/>
      <c r="M95" s="6"/>
      <c r="N95" s="6"/>
      <c r="O95" s="6"/>
      <c r="P95" s="6"/>
      <c r="Q95" s="6"/>
      <c r="R95" s="6" t="s">
        <v>187</v>
      </c>
    </row>
    <row r="96" customFormat="false" ht="15" hidden="false" customHeight="false" outlineLevel="0" collapsed="false">
      <c r="A96" s="6" t="s">
        <v>560</v>
      </c>
      <c r="B96" s="6" t="s">
        <v>174</v>
      </c>
      <c r="C96" s="6" t="s">
        <v>59</v>
      </c>
      <c r="D96" s="6" t="s">
        <v>561</v>
      </c>
      <c r="E96" s="6" t="s">
        <v>562</v>
      </c>
      <c r="F96" s="6" t="n">
        <v>2019</v>
      </c>
      <c r="G96" s="6"/>
      <c r="H96" s="6" t="s">
        <v>563</v>
      </c>
      <c r="I96" s="6"/>
      <c r="J96" s="6" t="s">
        <v>133</v>
      </c>
      <c r="K96" s="6" t="s">
        <v>77</v>
      </c>
      <c r="L96" s="6"/>
      <c r="M96" s="6"/>
      <c r="N96" s="6"/>
      <c r="O96" s="6"/>
      <c r="P96" s="6"/>
      <c r="Q96" s="6"/>
      <c r="R96" s="6" t="s">
        <v>187</v>
      </c>
    </row>
    <row r="97" customFormat="false" ht="15" hidden="false" customHeight="false" outlineLevel="0" collapsed="false">
      <c r="A97" s="6" t="s">
        <v>564</v>
      </c>
      <c r="B97" s="6" t="s">
        <v>174</v>
      </c>
      <c r="C97" s="6" t="s">
        <v>59</v>
      </c>
      <c r="D97" s="6" t="s">
        <v>565</v>
      </c>
      <c r="E97" s="6" t="s">
        <v>566</v>
      </c>
      <c r="F97" s="6" t="n">
        <v>2026</v>
      </c>
      <c r="G97" s="6"/>
      <c r="H97" s="6" t="s">
        <v>567</v>
      </c>
      <c r="I97" s="6"/>
      <c r="J97" s="6" t="s">
        <v>133</v>
      </c>
      <c r="K97" s="6" t="s">
        <v>77</v>
      </c>
      <c r="L97" s="6"/>
      <c r="M97" s="6"/>
      <c r="N97" s="6"/>
      <c r="O97" s="6"/>
      <c r="P97" s="6"/>
      <c r="Q97" s="6"/>
      <c r="R97" s="6" t="s">
        <v>187</v>
      </c>
    </row>
    <row r="98" customFormat="false" ht="15" hidden="false" customHeight="false" outlineLevel="0" collapsed="false">
      <c r="A98" s="6" t="s">
        <v>568</v>
      </c>
      <c r="B98" s="6" t="s">
        <v>174</v>
      </c>
      <c r="C98" s="6" t="s">
        <v>59</v>
      </c>
      <c r="D98" s="6" t="s">
        <v>569</v>
      </c>
      <c r="E98" s="6" t="s">
        <v>570</v>
      </c>
      <c r="F98" s="6" t="n">
        <v>2016</v>
      </c>
      <c r="G98" s="6"/>
      <c r="H98" s="6" t="s">
        <v>571</v>
      </c>
      <c r="I98" s="6"/>
      <c r="J98" s="6" t="s">
        <v>133</v>
      </c>
      <c r="K98" s="6" t="s">
        <v>77</v>
      </c>
      <c r="L98" s="6"/>
      <c r="M98" s="6"/>
      <c r="N98" s="6"/>
      <c r="O98" s="6"/>
      <c r="P98" s="6"/>
      <c r="Q98" s="6"/>
      <c r="R98" s="6" t="s">
        <v>187</v>
      </c>
    </row>
    <row r="99" customFormat="false" ht="15" hidden="false" customHeight="false" outlineLevel="0" collapsed="false">
      <c r="A99" s="6" t="s">
        <v>572</v>
      </c>
      <c r="B99" s="6" t="s">
        <v>174</v>
      </c>
      <c r="C99" s="6" t="s">
        <v>59</v>
      </c>
      <c r="D99" s="6" t="s">
        <v>573</v>
      </c>
      <c r="E99" s="6" t="s">
        <v>574</v>
      </c>
      <c r="F99" s="6" t="n">
        <v>2019</v>
      </c>
      <c r="G99" s="6"/>
      <c r="H99" s="6" t="s">
        <v>575</v>
      </c>
      <c r="I99" s="6"/>
      <c r="J99" s="6" t="s">
        <v>133</v>
      </c>
      <c r="K99" s="6" t="s">
        <v>77</v>
      </c>
      <c r="L99" s="6"/>
      <c r="M99" s="6"/>
      <c r="N99" s="6"/>
      <c r="O99" s="6"/>
      <c r="P99" s="6"/>
      <c r="Q99" s="6"/>
      <c r="R99" s="6" t="s">
        <v>187</v>
      </c>
    </row>
    <row r="100" customFormat="false" ht="15" hidden="false" customHeight="false" outlineLevel="0" collapsed="false">
      <c r="A100" s="6" t="s">
        <v>576</v>
      </c>
      <c r="B100" s="6" t="s">
        <v>174</v>
      </c>
      <c r="C100" s="6" t="s">
        <v>59</v>
      </c>
      <c r="D100" s="6" t="s">
        <v>577</v>
      </c>
      <c r="E100" s="6" t="s">
        <v>578</v>
      </c>
      <c r="F100" s="6" t="n">
        <v>2023</v>
      </c>
      <c r="G100" s="6"/>
      <c r="H100" s="6" t="s">
        <v>579</v>
      </c>
      <c r="I100" s="6"/>
      <c r="J100" s="6" t="s">
        <v>133</v>
      </c>
      <c r="K100" s="6" t="s">
        <v>77</v>
      </c>
      <c r="L100" s="6"/>
      <c r="M100" s="6"/>
      <c r="N100" s="6"/>
      <c r="O100" s="6"/>
      <c r="P100" s="6"/>
      <c r="Q100" s="6"/>
      <c r="R100" s="6" t="s">
        <v>187</v>
      </c>
    </row>
    <row r="101" customFormat="false" ht="15" hidden="false" customHeight="false" outlineLevel="0" collapsed="false">
      <c r="A101" s="6" t="s">
        <v>580</v>
      </c>
      <c r="B101" s="6" t="s">
        <v>174</v>
      </c>
      <c r="C101" s="6" t="s">
        <v>59</v>
      </c>
      <c r="D101" s="6" t="s">
        <v>581</v>
      </c>
      <c r="E101" s="6" t="s">
        <v>582</v>
      </c>
      <c r="F101" s="6" t="n">
        <v>2018</v>
      </c>
      <c r="G101" s="6"/>
      <c r="H101" s="6" t="s">
        <v>583</v>
      </c>
      <c r="I101" s="6"/>
      <c r="J101" s="6" t="s">
        <v>133</v>
      </c>
      <c r="K101" s="6" t="s">
        <v>77</v>
      </c>
      <c r="L101" s="6"/>
      <c r="M101" s="6"/>
      <c r="N101" s="6"/>
      <c r="O101" s="6"/>
      <c r="P101" s="6"/>
      <c r="Q101" s="6"/>
      <c r="R101" s="6" t="s">
        <v>187</v>
      </c>
    </row>
    <row r="102" customFormat="false" ht="15" hidden="false" customHeight="false" outlineLevel="0" collapsed="false">
      <c r="A102" s="6" t="s">
        <v>584</v>
      </c>
      <c r="B102" s="6" t="s">
        <v>174</v>
      </c>
      <c r="C102" s="6" t="s">
        <v>59</v>
      </c>
      <c r="D102" s="6" t="s">
        <v>585</v>
      </c>
      <c r="E102" s="6" t="s">
        <v>586</v>
      </c>
      <c r="F102" s="6" t="n">
        <v>2012</v>
      </c>
      <c r="G102" s="6"/>
      <c r="H102" s="6" t="s">
        <v>587</v>
      </c>
      <c r="I102" s="6"/>
      <c r="J102" s="6" t="s">
        <v>133</v>
      </c>
      <c r="K102" s="6" t="s">
        <v>77</v>
      </c>
      <c r="L102" s="6"/>
      <c r="M102" s="6"/>
      <c r="N102" s="6"/>
      <c r="O102" s="6"/>
      <c r="P102" s="6"/>
      <c r="Q102" s="6"/>
      <c r="R102" s="6" t="s">
        <v>187</v>
      </c>
    </row>
    <row r="103" customFormat="false" ht="15" hidden="false" customHeight="false" outlineLevel="0" collapsed="false">
      <c r="A103" s="6" t="s">
        <v>588</v>
      </c>
      <c r="B103" s="6" t="s">
        <v>174</v>
      </c>
      <c r="C103" s="6" t="s">
        <v>59</v>
      </c>
      <c r="D103" s="6" t="s">
        <v>589</v>
      </c>
      <c r="E103" s="6" t="s">
        <v>590</v>
      </c>
      <c r="F103" s="6" t="n">
        <v>2022</v>
      </c>
      <c r="G103" s="6"/>
      <c r="H103" s="6" t="s">
        <v>591</v>
      </c>
      <c r="I103" s="6"/>
      <c r="J103" s="6" t="s">
        <v>133</v>
      </c>
      <c r="K103" s="6" t="s">
        <v>77</v>
      </c>
      <c r="L103" s="6"/>
      <c r="M103" s="6"/>
      <c r="N103" s="6"/>
      <c r="O103" s="6"/>
      <c r="P103" s="6"/>
      <c r="Q103" s="6"/>
      <c r="R103" s="6" t="s">
        <v>187</v>
      </c>
    </row>
    <row r="104" customFormat="false" ht="15" hidden="false" customHeight="false" outlineLevel="0" collapsed="false">
      <c r="A104" s="6" t="s">
        <v>592</v>
      </c>
      <c r="B104" s="6" t="s">
        <v>174</v>
      </c>
      <c r="C104" s="6" t="s">
        <v>59</v>
      </c>
      <c r="D104" s="6" t="s">
        <v>593</v>
      </c>
      <c r="E104" s="6" t="s">
        <v>594</v>
      </c>
      <c r="F104" s="6" t="n">
        <v>2014</v>
      </c>
      <c r="G104" s="6"/>
      <c r="H104" s="6"/>
      <c r="I104" s="6"/>
      <c r="J104" s="6" t="s">
        <v>133</v>
      </c>
      <c r="K104" s="6" t="s">
        <v>77</v>
      </c>
      <c r="L104" s="6"/>
      <c r="M104" s="6"/>
      <c r="N104" s="6"/>
      <c r="O104" s="6"/>
      <c r="P104" s="6"/>
      <c r="Q104" s="6"/>
      <c r="R104" s="6" t="s">
        <v>187</v>
      </c>
    </row>
    <row r="105" customFormat="false" ht="15" hidden="false" customHeight="false" outlineLevel="0" collapsed="false">
      <c r="A105" s="6" t="s">
        <v>595</v>
      </c>
      <c r="B105" s="6" t="s">
        <v>174</v>
      </c>
      <c r="C105" s="6" t="s">
        <v>59</v>
      </c>
      <c r="D105" s="6" t="s">
        <v>596</v>
      </c>
      <c r="E105" s="6" t="s">
        <v>597</v>
      </c>
      <c r="F105" s="6" t="n">
        <v>2025</v>
      </c>
      <c r="G105" s="6"/>
      <c r="H105" s="6" t="s">
        <v>598</v>
      </c>
      <c r="I105" s="6"/>
      <c r="J105" s="6" t="s">
        <v>133</v>
      </c>
      <c r="K105" s="6" t="s">
        <v>77</v>
      </c>
      <c r="L105" s="6"/>
      <c r="M105" s="6"/>
      <c r="N105" s="6"/>
      <c r="O105" s="6"/>
      <c r="P105" s="6"/>
      <c r="Q105" s="6"/>
      <c r="R105" s="6" t="s">
        <v>187</v>
      </c>
    </row>
    <row r="106" customFormat="false" ht="15" hidden="false" customHeight="false" outlineLevel="0" collapsed="false">
      <c r="A106" s="6" t="s">
        <v>599</v>
      </c>
      <c r="B106" s="6" t="s">
        <v>174</v>
      </c>
      <c r="C106" s="6" t="s">
        <v>59</v>
      </c>
      <c r="D106" s="6" t="s">
        <v>600</v>
      </c>
      <c r="E106" s="6" t="s">
        <v>601</v>
      </c>
      <c r="F106" s="6" t="n">
        <v>2014</v>
      </c>
      <c r="G106" s="6"/>
      <c r="H106" s="6" t="s">
        <v>602</v>
      </c>
      <c r="I106" s="6"/>
      <c r="J106" s="6" t="s">
        <v>152</v>
      </c>
      <c r="K106" s="6"/>
      <c r="L106" s="6" t="s">
        <v>133</v>
      </c>
      <c r="M106" s="6" t="s">
        <v>79</v>
      </c>
      <c r="N106" s="6" t="s">
        <v>603</v>
      </c>
      <c r="O106" s="6" t="s">
        <v>115</v>
      </c>
      <c r="P106" s="6" t="s">
        <v>115</v>
      </c>
      <c r="Q106" s="6" t="s">
        <v>137</v>
      </c>
      <c r="R106" s="6" t="s">
        <v>604</v>
      </c>
      <c r="S106" s="6" t="s">
        <v>182</v>
      </c>
    </row>
    <row r="107" customFormat="false" ht="15" hidden="false" customHeight="false" outlineLevel="0" collapsed="false">
      <c r="A107" s="6" t="s">
        <v>605</v>
      </c>
      <c r="B107" s="6" t="s">
        <v>174</v>
      </c>
      <c r="C107" s="6" t="s">
        <v>59</v>
      </c>
      <c r="D107" s="6" t="s">
        <v>606</v>
      </c>
      <c r="E107" s="6" t="s">
        <v>607</v>
      </c>
      <c r="F107" s="6" t="n">
        <v>2022</v>
      </c>
      <c r="G107" s="6"/>
      <c r="H107" s="6" t="s">
        <v>608</v>
      </c>
      <c r="I107" s="6"/>
      <c r="J107" s="6" t="s">
        <v>133</v>
      </c>
      <c r="K107" s="6" t="s">
        <v>77</v>
      </c>
      <c r="L107" s="6"/>
      <c r="M107" s="6"/>
      <c r="N107" s="6"/>
      <c r="O107" s="6"/>
      <c r="P107" s="6"/>
      <c r="Q107" s="6"/>
      <c r="R107" s="6" t="s">
        <v>187</v>
      </c>
    </row>
    <row r="108" customFormat="false" ht="15" hidden="false" customHeight="false" outlineLevel="0" collapsed="false">
      <c r="A108" s="6" t="s">
        <v>609</v>
      </c>
      <c r="B108" s="6" t="s">
        <v>174</v>
      </c>
      <c r="C108" s="6" t="s">
        <v>59</v>
      </c>
      <c r="D108" s="6" t="s">
        <v>610</v>
      </c>
      <c r="E108" s="6" t="s">
        <v>611</v>
      </c>
      <c r="F108" s="6" t="n">
        <v>2018</v>
      </c>
      <c r="G108" s="6"/>
      <c r="H108" s="6" t="s">
        <v>612</v>
      </c>
      <c r="I108" s="6"/>
      <c r="J108" s="6" t="s">
        <v>133</v>
      </c>
      <c r="K108" s="6" t="s">
        <v>77</v>
      </c>
      <c r="L108" s="6"/>
      <c r="M108" s="6"/>
      <c r="N108" s="6"/>
      <c r="O108" s="6"/>
      <c r="P108" s="6"/>
      <c r="Q108" s="6"/>
      <c r="R108" s="6" t="s">
        <v>187</v>
      </c>
    </row>
    <row r="109" customFormat="false" ht="15" hidden="false" customHeight="false" outlineLevel="0" collapsed="false">
      <c r="A109" s="6" t="s">
        <v>613</v>
      </c>
      <c r="B109" s="6" t="s">
        <v>174</v>
      </c>
      <c r="C109" s="6" t="s">
        <v>59</v>
      </c>
      <c r="D109" s="6" t="s">
        <v>614</v>
      </c>
      <c r="E109" s="6" t="s">
        <v>615</v>
      </c>
      <c r="F109" s="6" t="n">
        <v>2024</v>
      </c>
      <c r="G109" s="6"/>
      <c r="H109" s="6" t="s">
        <v>616</v>
      </c>
      <c r="I109" s="6"/>
      <c r="J109" s="6" t="s">
        <v>133</v>
      </c>
      <c r="K109" s="6" t="s">
        <v>77</v>
      </c>
      <c r="L109" s="6"/>
      <c r="M109" s="6"/>
      <c r="N109" s="6"/>
      <c r="O109" s="6"/>
      <c r="P109" s="6"/>
      <c r="Q109" s="6"/>
      <c r="R109" s="6" t="s">
        <v>187</v>
      </c>
    </row>
    <row r="110" customFormat="false" ht="15" hidden="false" customHeight="false" outlineLevel="0" collapsed="false">
      <c r="A110" s="6" t="s">
        <v>617</v>
      </c>
      <c r="B110" s="6" t="s">
        <v>174</v>
      </c>
      <c r="C110" s="6" t="s">
        <v>59</v>
      </c>
      <c r="D110" s="6" t="s">
        <v>618</v>
      </c>
      <c r="E110" s="6" t="s">
        <v>619</v>
      </c>
      <c r="F110" s="6" t="n">
        <v>2025</v>
      </c>
      <c r="G110" s="6"/>
      <c r="H110" s="6" t="s">
        <v>620</v>
      </c>
      <c r="I110" s="6"/>
      <c r="J110" s="6" t="s">
        <v>133</v>
      </c>
      <c r="K110" s="6" t="s">
        <v>77</v>
      </c>
      <c r="L110" s="6"/>
      <c r="M110" s="6"/>
      <c r="N110" s="6"/>
      <c r="O110" s="6"/>
      <c r="P110" s="6"/>
      <c r="Q110" s="6"/>
      <c r="R110" s="6" t="s">
        <v>187</v>
      </c>
    </row>
    <row r="111" customFormat="false" ht="15" hidden="false" customHeight="false" outlineLevel="0" collapsed="false">
      <c r="A111" s="6" t="s">
        <v>621</v>
      </c>
      <c r="B111" s="6" t="s">
        <v>174</v>
      </c>
      <c r="C111" s="6" t="s">
        <v>59</v>
      </c>
      <c r="D111" s="6" t="s">
        <v>622</v>
      </c>
      <c r="E111" s="6" t="s">
        <v>623</v>
      </c>
      <c r="F111" s="6" t="n">
        <v>2018</v>
      </c>
      <c r="G111" s="6"/>
      <c r="H111" s="6" t="s">
        <v>624</v>
      </c>
      <c r="I111" s="6"/>
      <c r="J111" s="6" t="s">
        <v>133</v>
      </c>
      <c r="K111" s="6" t="s">
        <v>77</v>
      </c>
      <c r="L111" s="6"/>
      <c r="M111" s="6"/>
      <c r="N111" s="6"/>
      <c r="O111" s="6"/>
      <c r="P111" s="6"/>
      <c r="Q111" s="6"/>
      <c r="R111" s="6" t="s">
        <v>187</v>
      </c>
    </row>
    <row r="112" customFormat="false" ht="15" hidden="false" customHeight="false" outlineLevel="0" collapsed="false">
      <c r="A112" s="6" t="s">
        <v>625</v>
      </c>
      <c r="B112" s="6" t="s">
        <v>174</v>
      </c>
      <c r="C112" s="6" t="s">
        <v>59</v>
      </c>
      <c r="D112" s="6" t="s">
        <v>626</v>
      </c>
      <c r="E112" s="6" t="s">
        <v>627</v>
      </c>
      <c r="F112" s="6" t="n">
        <v>2024</v>
      </c>
      <c r="G112" s="6"/>
      <c r="H112" s="6" t="s">
        <v>628</v>
      </c>
      <c r="I112" s="6" t="s">
        <v>621</v>
      </c>
      <c r="J112" s="6" t="s">
        <v>133</v>
      </c>
      <c r="K112" s="6" t="s">
        <v>83</v>
      </c>
      <c r="L112" s="6"/>
      <c r="M112" s="6"/>
      <c r="N112" s="6"/>
      <c r="O112" s="6"/>
      <c r="P112" s="6"/>
      <c r="Q112" s="6"/>
      <c r="R112" s="6" t="s">
        <v>230</v>
      </c>
    </row>
    <row r="113" customFormat="false" ht="15" hidden="false" customHeight="false" outlineLevel="0" collapsed="false">
      <c r="A113" s="6" t="s">
        <v>629</v>
      </c>
      <c r="B113" s="6" t="s">
        <v>174</v>
      </c>
      <c r="C113" s="6" t="s">
        <v>59</v>
      </c>
      <c r="D113" s="6" t="s">
        <v>630</v>
      </c>
      <c r="E113" s="6" t="s">
        <v>631</v>
      </c>
      <c r="F113" s="6" t="n">
        <v>2022</v>
      </c>
      <c r="G113" s="6"/>
      <c r="H113" s="6" t="s">
        <v>632</v>
      </c>
      <c r="I113" s="6"/>
      <c r="J113" s="6" t="s">
        <v>133</v>
      </c>
      <c r="K113" s="6" t="s">
        <v>77</v>
      </c>
      <c r="L113" s="6"/>
      <c r="M113" s="6"/>
      <c r="N113" s="6"/>
      <c r="O113" s="6"/>
      <c r="P113" s="6"/>
      <c r="Q113" s="6"/>
      <c r="R113" s="6" t="s">
        <v>187</v>
      </c>
    </row>
    <row r="114" customFormat="false" ht="15" hidden="false" customHeight="false" outlineLevel="0" collapsed="false">
      <c r="A114" s="6" t="s">
        <v>633</v>
      </c>
      <c r="B114" s="6" t="s">
        <v>174</v>
      </c>
      <c r="C114" s="6" t="s">
        <v>59</v>
      </c>
      <c r="D114" s="6" t="s">
        <v>634</v>
      </c>
      <c r="E114" s="6" t="s">
        <v>635</v>
      </c>
      <c r="F114" s="6" t="n">
        <v>2021</v>
      </c>
      <c r="G114" s="6"/>
      <c r="H114" s="6" t="s">
        <v>636</v>
      </c>
      <c r="I114" s="6"/>
      <c r="J114" s="6" t="s">
        <v>133</v>
      </c>
      <c r="K114" s="6" t="s">
        <v>77</v>
      </c>
      <c r="L114" s="6"/>
      <c r="M114" s="6"/>
      <c r="N114" s="6"/>
      <c r="O114" s="6"/>
      <c r="P114" s="6"/>
      <c r="Q114" s="6"/>
      <c r="R114" s="6" t="s">
        <v>187</v>
      </c>
    </row>
    <row r="115" customFormat="false" ht="15" hidden="false" customHeight="false" outlineLevel="0" collapsed="false">
      <c r="A115" s="6" t="s">
        <v>637</v>
      </c>
      <c r="B115" s="6" t="s">
        <v>174</v>
      </c>
      <c r="C115" s="6" t="s">
        <v>59</v>
      </c>
      <c r="D115" s="6" t="s">
        <v>638</v>
      </c>
      <c r="E115" s="6" t="s">
        <v>639</v>
      </c>
      <c r="F115" s="6" t="n">
        <v>2021</v>
      </c>
      <c r="G115" s="6"/>
      <c r="H115" s="6" t="s">
        <v>640</v>
      </c>
      <c r="I115" s="6"/>
      <c r="J115" s="6" t="s">
        <v>133</v>
      </c>
      <c r="K115" s="6" t="s">
        <v>77</v>
      </c>
      <c r="L115" s="6"/>
      <c r="M115" s="6"/>
      <c r="N115" s="6"/>
      <c r="O115" s="6"/>
      <c r="P115" s="6"/>
      <c r="Q115" s="6"/>
      <c r="R115" s="6" t="s">
        <v>187</v>
      </c>
    </row>
    <row r="116" customFormat="false" ht="15" hidden="false" customHeight="false" outlineLevel="0" collapsed="false">
      <c r="A116" s="6" t="s">
        <v>641</v>
      </c>
      <c r="B116" s="6" t="s">
        <v>174</v>
      </c>
      <c r="C116" s="6" t="s">
        <v>59</v>
      </c>
      <c r="D116" s="6" t="s">
        <v>642</v>
      </c>
      <c r="E116" s="6" t="s">
        <v>643</v>
      </c>
      <c r="F116" s="6" t="n">
        <v>2021</v>
      </c>
      <c r="G116" s="6"/>
      <c r="H116" s="6" t="s">
        <v>644</v>
      </c>
      <c r="I116" s="6"/>
      <c r="J116" s="6" t="s">
        <v>133</v>
      </c>
      <c r="K116" s="6" t="s">
        <v>77</v>
      </c>
      <c r="L116" s="6"/>
      <c r="M116" s="6"/>
      <c r="N116" s="6"/>
      <c r="O116" s="6"/>
      <c r="P116" s="6"/>
      <c r="Q116" s="6"/>
      <c r="R116" s="6" t="s">
        <v>187</v>
      </c>
    </row>
    <row r="117" customFormat="false" ht="15" hidden="false" customHeight="false" outlineLevel="0" collapsed="false">
      <c r="A117" s="6" t="s">
        <v>645</v>
      </c>
      <c r="B117" s="6" t="s">
        <v>174</v>
      </c>
      <c r="C117" s="6" t="s">
        <v>59</v>
      </c>
      <c r="D117" s="6" t="s">
        <v>646</v>
      </c>
      <c r="E117" s="6" t="s">
        <v>647</v>
      </c>
      <c r="F117" s="6" t="n">
        <v>2019</v>
      </c>
      <c r="G117" s="6"/>
      <c r="H117" s="6" t="s">
        <v>648</v>
      </c>
      <c r="I117" s="6"/>
      <c r="J117" s="6" t="s">
        <v>133</v>
      </c>
      <c r="K117" s="6" t="s">
        <v>77</v>
      </c>
      <c r="L117" s="6"/>
      <c r="M117" s="6"/>
      <c r="N117" s="6"/>
      <c r="O117" s="6"/>
      <c r="P117" s="6"/>
      <c r="Q117" s="6"/>
      <c r="R117" s="6" t="s">
        <v>187</v>
      </c>
    </row>
    <row r="118" customFormat="false" ht="15" hidden="false" customHeight="false" outlineLevel="0" collapsed="false">
      <c r="A118" s="6" t="s">
        <v>649</v>
      </c>
      <c r="B118" s="6" t="s">
        <v>174</v>
      </c>
      <c r="C118" s="6" t="s">
        <v>59</v>
      </c>
      <c r="D118" s="6" t="s">
        <v>650</v>
      </c>
      <c r="E118" s="6" t="s">
        <v>651</v>
      </c>
      <c r="F118" s="6" t="n">
        <v>2014</v>
      </c>
      <c r="G118" s="6"/>
      <c r="H118" s="6" t="s">
        <v>652</v>
      </c>
      <c r="I118" s="6"/>
      <c r="J118" s="6" t="s">
        <v>133</v>
      </c>
      <c r="K118" s="6" t="s">
        <v>77</v>
      </c>
      <c r="L118" s="6"/>
      <c r="M118" s="6"/>
      <c r="N118" s="6"/>
      <c r="O118" s="6"/>
      <c r="P118" s="6"/>
      <c r="Q118" s="6"/>
      <c r="R118" s="6" t="s">
        <v>187</v>
      </c>
    </row>
    <row r="119" customFormat="false" ht="15" hidden="false" customHeight="false" outlineLevel="0" collapsed="false">
      <c r="A119" s="6" t="s">
        <v>653</v>
      </c>
      <c r="B119" s="6" t="s">
        <v>174</v>
      </c>
      <c r="C119" s="6" t="s">
        <v>59</v>
      </c>
      <c r="D119" s="6" t="s">
        <v>654</v>
      </c>
      <c r="E119" s="6" t="s">
        <v>655</v>
      </c>
      <c r="F119" s="6" t="n">
        <v>2025</v>
      </c>
      <c r="G119" s="6"/>
      <c r="H119" s="6" t="s">
        <v>656</v>
      </c>
      <c r="I119" s="6"/>
      <c r="J119" s="6" t="s">
        <v>133</v>
      </c>
      <c r="K119" s="6" t="s">
        <v>77</v>
      </c>
      <c r="L119" s="6"/>
      <c r="M119" s="6"/>
      <c r="N119" s="6"/>
      <c r="O119" s="6"/>
      <c r="P119" s="6"/>
      <c r="Q119" s="6"/>
      <c r="R119" s="6" t="s">
        <v>187</v>
      </c>
    </row>
    <row r="120" customFormat="false" ht="15" hidden="false" customHeight="false" outlineLevel="0" collapsed="false">
      <c r="A120" s="6" t="s">
        <v>657</v>
      </c>
      <c r="B120" s="6" t="s">
        <v>174</v>
      </c>
      <c r="C120" s="6" t="s">
        <v>59</v>
      </c>
      <c r="D120" s="6" t="s">
        <v>658</v>
      </c>
      <c r="E120" s="6" t="s">
        <v>659</v>
      </c>
      <c r="F120" s="6" t="n">
        <v>2014</v>
      </c>
      <c r="G120" s="6"/>
      <c r="H120" s="6" t="s">
        <v>660</v>
      </c>
      <c r="I120" s="6"/>
      <c r="J120" s="6" t="s">
        <v>133</v>
      </c>
      <c r="K120" s="6" t="s">
        <v>77</v>
      </c>
      <c r="L120" s="6"/>
      <c r="M120" s="6"/>
      <c r="N120" s="6"/>
      <c r="O120" s="6"/>
      <c r="P120" s="6"/>
      <c r="Q120" s="6"/>
      <c r="R120" s="6" t="s">
        <v>187</v>
      </c>
    </row>
    <row r="121" customFormat="false" ht="15" hidden="false" customHeight="false" outlineLevel="0" collapsed="false">
      <c r="A121" s="6" t="s">
        <v>661</v>
      </c>
      <c r="B121" s="6" t="s">
        <v>174</v>
      </c>
      <c r="C121" s="6" t="s">
        <v>59</v>
      </c>
      <c r="D121" s="6" t="s">
        <v>662</v>
      </c>
      <c r="E121" s="6" t="s">
        <v>663</v>
      </c>
      <c r="F121" s="6" t="n">
        <v>2014</v>
      </c>
      <c r="G121" s="6"/>
      <c r="H121" s="6" t="s">
        <v>664</v>
      </c>
      <c r="I121" s="6"/>
      <c r="J121" s="6" t="s">
        <v>133</v>
      </c>
      <c r="K121" s="6" t="s">
        <v>77</v>
      </c>
      <c r="L121" s="6"/>
      <c r="M121" s="6"/>
      <c r="N121" s="6"/>
      <c r="O121" s="6"/>
      <c r="P121" s="6"/>
      <c r="Q121" s="6"/>
      <c r="R121" s="6" t="s">
        <v>187</v>
      </c>
    </row>
    <row r="122" customFormat="false" ht="15" hidden="false" customHeight="false" outlineLevel="0" collapsed="false">
      <c r="A122" s="6" t="s">
        <v>665</v>
      </c>
      <c r="B122" s="6" t="s">
        <v>174</v>
      </c>
      <c r="C122" s="6" t="s">
        <v>59</v>
      </c>
      <c r="D122" s="6" t="s">
        <v>666</v>
      </c>
      <c r="E122" s="6" t="s">
        <v>667</v>
      </c>
      <c r="F122" s="6" t="n">
        <v>2017</v>
      </c>
      <c r="G122" s="6"/>
      <c r="H122" s="6" t="s">
        <v>668</v>
      </c>
      <c r="I122" s="6"/>
      <c r="J122" s="6" t="s">
        <v>133</v>
      </c>
      <c r="K122" s="6" t="s">
        <v>77</v>
      </c>
      <c r="L122" s="6"/>
      <c r="M122" s="6"/>
      <c r="N122" s="6"/>
      <c r="O122" s="6"/>
      <c r="P122" s="6"/>
      <c r="Q122" s="6"/>
      <c r="R122" s="6" t="s">
        <v>187</v>
      </c>
    </row>
    <row r="123" customFormat="false" ht="15" hidden="false" customHeight="false" outlineLevel="0" collapsed="false">
      <c r="A123" s="6" t="s">
        <v>669</v>
      </c>
      <c r="B123" s="6" t="s">
        <v>174</v>
      </c>
      <c r="C123" s="6" t="s">
        <v>59</v>
      </c>
      <c r="D123" s="6" t="s">
        <v>670</v>
      </c>
      <c r="E123" s="6" t="s">
        <v>671</v>
      </c>
      <c r="F123" s="6" t="n">
        <v>2015</v>
      </c>
      <c r="G123" s="6"/>
      <c r="H123" s="6" t="s">
        <v>672</v>
      </c>
      <c r="I123" s="6"/>
      <c r="J123" s="6" t="s">
        <v>133</v>
      </c>
      <c r="K123" s="6" t="s">
        <v>77</v>
      </c>
      <c r="L123" s="6"/>
      <c r="M123" s="6"/>
      <c r="N123" s="6"/>
      <c r="O123" s="6"/>
      <c r="P123" s="6"/>
      <c r="Q123" s="6"/>
      <c r="R123" s="6" t="s">
        <v>187</v>
      </c>
    </row>
    <row r="124" customFormat="false" ht="15" hidden="false" customHeight="false" outlineLevel="0" collapsed="false">
      <c r="A124" s="6" t="s">
        <v>673</v>
      </c>
      <c r="B124" s="6" t="s">
        <v>174</v>
      </c>
      <c r="C124" s="6" t="s">
        <v>59</v>
      </c>
      <c r="D124" s="6" t="s">
        <v>674</v>
      </c>
      <c r="E124" s="6" t="s">
        <v>675</v>
      </c>
      <c r="F124" s="6" t="n">
        <v>2025</v>
      </c>
      <c r="G124" s="6"/>
      <c r="H124" s="6" t="s">
        <v>676</v>
      </c>
      <c r="I124" s="6"/>
      <c r="J124" s="6" t="s">
        <v>133</v>
      </c>
      <c r="K124" s="6" t="s">
        <v>77</v>
      </c>
      <c r="L124" s="6"/>
      <c r="M124" s="6"/>
      <c r="N124" s="6"/>
      <c r="O124" s="6"/>
      <c r="P124" s="6"/>
      <c r="Q124" s="6"/>
      <c r="R124" s="6" t="s">
        <v>187</v>
      </c>
    </row>
    <row r="125" customFormat="false" ht="15" hidden="false" customHeight="false" outlineLevel="0" collapsed="false">
      <c r="A125" s="6" t="s">
        <v>677</v>
      </c>
      <c r="B125" s="6" t="s">
        <v>174</v>
      </c>
      <c r="C125" s="6" t="s">
        <v>59</v>
      </c>
      <c r="D125" s="6" t="s">
        <v>678</v>
      </c>
      <c r="E125" s="6" t="s">
        <v>574</v>
      </c>
      <c r="F125" s="6" t="n">
        <v>2020</v>
      </c>
      <c r="G125" s="6"/>
      <c r="H125" s="6" t="s">
        <v>679</v>
      </c>
      <c r="I125" s="6"/>
      <c r="J125" s="6" t="s">
        <v>133</v>
      </c>
      <c r="K125" s="6" t="s">
        <v>77</v>
      </c>
      <c r="L125" s="6"/>
      <c r="M125" s="6"/>
      <c r="N125" s="6"/>
      <c r="O125" s="6"/>
      <c r="P125" s="6"/>
      <c r="Q125" s="6"/>
      <c r="R125" s="6" t="s">
        <v>187</v>
      </c>
    </row>
    <row r="126" customFormat="false" ht="15" hidden="false" customHeight="false" outlineLevel="0" collapsed="false">
      <c r="A126" s="6" t="s">
        <v>680</v>
      </c>
      <c r="B126" s="6" t="s">
        <v>174</v>
      </c>
      <c r="C126" s="6" t="s">
        <v>59</v>
      </c>
      <c r="D126" s="6" t="s">
        <v>681</v>
      </c>
      <c r="E126" s="6" t="s">
        <v>682</v>
      </c>
      <c r="F126" s="6" t="n">
        <v>2015</v>
      </c>
      <c r="G126" s="6"/>
      <c r="H126" s="6"/>
      <c r="I126" s="6"/>
      <c r="J126" s="6" t="s">
        <v>133</v>
      </c>
      <c r="K126" s="6" t="s">
        <v>77</v>
      </c>
      <c r="L126" s="6"/>
      <c r="M126" s="6"/>
      <c r="N126" s="6"/>
      <c r="O126" s="6"/>
      <c r="P126" s="6"/>
      <c r="Q126" s="6"/>
      <c r="R126" s="6" t="s">
        <v>187</v>
      </c>
    </row>
    <row r="127" customFormat="false" ht="15" hidden="false" customHeight="false" outlineLevel="0" collapsed="false">
      <c r="A127" s="6" t="s">
        <v>683</v>
      </c>
      <c r="B127" s="6" t="s">
        <v>174</v>
      </c>
      <c r="C127" s="6" t="s">
        <v>59</v>
      </c>
      <c r="D127" s="6" t="s">
        <v>684</v>
      </c>
      <c r="E127" s="6" t="s">
        <v>685</v>
      </c>
      <c r="F127" s="6" t="n">
        <v>2025</v>
      </c>
      <c r="G127" s="6"/>
      <c r="H127" s="6" t="s">
        <v>686</v>
      </c>
      <c r="I127" s="6"/>
      <c r="J127" s="6" t="s">
        <v>133</v>
      </c>
      <c r="K127" s="6" t="s">
        <v>77</v>
      </c>
      <c r="L127" s="6"/>
      <c r="M127" s="6"/>
      <c r="N127" s="6"/>
      <c r="O127" s="6"/>
      <c r="P127" s="6"/>
      <c r="Q127" s="6"/>
      <c r="R127" s="6" t="s">
        <v>187</v>
      </c>
    </row>
    <row r="128" customFormat="false" ht="15" hidden="false" customHeight="false" outlineLevel="0" collapsed="false">
      <c r="A128" s="6" t="s">
        <v>687</v>
      </c>
      <c r="B128" s="6" t="s">
        <v>174</v>
      </c>
      <c r="C128" s="6" t="s">
        <v>59</v>
      </c>
      <c r="D128" s="6" t="s">
        <v>688</v>
      </c>
      <c r="E128" s="6" t="s">
        <v>689</v>
      </c>
      <c r="F128" s="6" t="n">
        <v>2021</v>
      </c>
      <c r="G128" s="6"/>
      <c r="H128" s="6" t="s">
        <v>690</v>
      </c>
      <c r="I128" s="6"/>
      <c r="J128" s="6" t="s">
        <v>133</v>
      </c>
      <c r="K128" s="6" t="s">
        <v>77</v>
      </c>
      <c r="L128" s="6"/>
      <c r="M128" s="6"/>
      <c r="N128" s="6"/>
      <c r="O128" s="6"/>
      <c r="P128" s="6"/>
      <c r="Q128" s="6"/>
      <c r="R128" s="6" t="s">
        <v>187</v>
      </c>
    </row>
    <row r="129" customFormat="false" ht="15" hidden="false" customHeight="false" outlineLevel="0" collapsed="false">
      <c r="A129" s="6" t="s">
        <v>691</v>
      </c>
      <c r="B129" s="6" t="s">
        <v>174</v>
      </c>
      <c r="C129" s="6" t="s">
        <v>59</v>
      </c>
      <c r="D129" s="6" t="s">
        <v>692</v>
      </c>
      <c r="E129" s="6" t="s">
        <v>693</v>
      </c>
      <c r="F129" s="6" t="n">
        <v>2023</v>
      </c>
      <c r="G129" s="6"/>
      <c r="H129" s="6" t="s">
        <v>694</v>
      </c>
      <c r="I129" s="6"/>
      <c r="J129" s="6" t="s">
        <v>133</v>
      </c>
      <c r="K129" s="6" t="s">
        <v>77</v>
      </c>
      <c r="L129" s="6"/>
      <c r="M129" s="6"/>
      <c r="N129" s="6"/>
      <c r="O129" s="6"/>
      <c r="P129" s="6"/>
      <c r="Q129" s="6"/>
      <c r="R129" s="6" t="s">
        <v>187</v>
      </c>
    </row>
    <row r="130" customFormat="false" ht="15" hidden="false" customHeight="false" outlineLevel="0" collapsed="false">
      <c r="A130" s="6" t="s">
        <v>695</v>
      </c>
      <c r="B130" s="6" t="s">
        <v>174</v>
      </c>
      <c r="C130" s="6" t="s">
        <v>59</v>
      </c>
      <c r="D130" s="6" t="s">
        <v>696</v>
      </c>
      <c r="E130" s="6" t="s">
        <v>697</v>
      </c>
      <c r="F130" s="6" t="n">
        <v>2023</v>
      </c>
      <c r="G130" s="6"/>
      <c r="H130" s="6" t="s">
        <v>698</v>
      </c>
      <c r="I130" s="6"/>
      <c r="J130" s="6" t="s">
        <v>133</v>
      </c>
      <c r="K130" s="6" t="s">
        <v>77</v>
      </c>
      <c r="L130" s="6"/>
      <c r="M130" s="6"/>
      <c r="N130" s="6"/>
      <c r="O130" s="6"/>
      <c r="P130" s="6"/>
      <c r="Q130" s="6"/>
      <c r="R130" s="6" t="s">
        <v>187</v>
      </c>
    </row>
    <row r="131" customFormat="false" ht="15" hidden="false" customHeight="false" outlineLevel="0" collapsed="false">
      <c r="A131" s="6" t="s">
        <v>699</v>
      </c>
      <c r="B131" s="6" t="s">
        <v>174</v>
      </c>
      <c r="C131" s="6" t="s">
        <v>59</v>
      </c>
      <c r="D131" s="6" t="s">
        <v>700</v>
      </c>
      <c r="E131" s="6" t="s">
        <v>701</v>
      </c>
      <c r="F131" s="6" t="n">
        <v>2025</v>
      </c>
      <c r="G131" s="6"/>
      <c r="H131" s="6"/>
      <c r="I131" s="6" t="s">
        <v>683</v>
      </c>
      <c r="J131" s="6" t="s">
        <v>133</v>
      </c>
      <c r="K131" s="6" t="s">
        <v>83</v>
      </c>
      <c r="L131" s="6"/>
      <c r="M131" s="6"/>
      <c r="N131" s="6"/>
      <c r="O131" s="6"/>
      <c r="P131" s="6"/>
      <c r="Q131" s="6"/>
      <c r="R131" s="6" t="s">
        <v>230</v>
      </c>
    </row>
    <row r="132" customFormat="false" ht="15" hidden="false" customHeight="false" outlineLevel="0" collapsed="false">
      <c r="A132" s="6" t="s">
        <v>702</v>
      </c>
      <c r="B132" s="6" t="s">
        <v>174</v>
      </c>
      <c r="C132" s="6" t="s">
        <v>59</v>
      </c>
      <c r="D132" s="6" t="s">
        <v>703</v>
      </c>
      <c r="E132" s="6" t="s">
        <v>704</v>
      </c>
      <c r="F132" s="6" t="n">
        <v>2025</v>
      </c>
      <c r="G132" s="6"/>
      <c r="H132" s="6" t="s">
        <v>705</v>
      </c>
      <c r="I132" s="6"/>
      <c r="J132" s="6" t="s">
        <v>133</v>
      </c>
      <c r="K132" s="6" t="s">
        <v>77</v>
      </c>
      <c r="L132" s="6"/>
      <c r="M132" s="6"/>
      <c r="N132" s="6"/>
      <c r="O132" s="6"/>
      <c r="P132" s="6"/>
      <c r="Q132" s="6"/>
      <c r="R132" s="6" t="s">
        <v>187</v>
      </c>
    </row>
    <row r="133" customFormat="false" ht="15" hidden="false" customHeight="false" outlineLevel="0" collapsed="false">
      <c r="A133" s="6" t="s">
        <v>706</v>
      </c>
      <c r="B133" s="6" t="s">
        <v>174</v>
      </c>
      <c r="C133" s="6" t="s">
        <v>59</v>
      </c>
      <c r="D133" s="6" t="s">
        <v>707</v>
      </c>
      <c r="E133" s="6" t="s">
        <v>708</v>
      </c>
      <c r="F133" s="6" t="n">
        <v>2012</v>
      </c>
      <c r="G133" s="6"/>
      <c r="H133" s="6" t="s">
        <v>709</v>
      </c>
      <c r="I133" s="6"/>
      <c r="J133" s="6" t="s">
        <v>133</v>
      </c>
      <c r="K133" s="6" t="s">
        <v>77</v>
      </c>
      <c r="L133" s="6"/>
      <c r="M133" s="6"/>
      <c r="N133" s="6"/>
      <c r="O133" s="6"/>
      <c r="P133" s="6"/>
      <c r="Q133" s="6"/>
      <c r="R133" s="6" t="s">
        <v>187</v>
      </c>
    </row>
    <row r="134" customFormat="false" ht="15" hidden="false" customHeight="false" outlineLevel="0" collapsed="false">
      <c r="A134" s="6" t="s">
        <v>710</v>
      </c>
      <c r="B134" s="6" t="s">
        <v>174</v>
      </c>
      <c r="C134" s="6" t="s">
        <v>59</v>
      </c>
      <c r="D134" s="6" t="s">
        <v>711</v>
      </c>
      <c r="E134" s="6" t="s">
        <v>712</v>
      </c>
      <c r="F134" s="6" t="n">
        <v>2021</v>
      </c>
      <c r="G134" s="6"/>
      <c r="H134" s="6" t="s">
        <v>713</v>
      </c>
      <c r="I134" s="6"/>
      <c r="J134" s="6" t="s">
        <v>133</v>
      </c>
      <c r="K134" s="6" t="s">
        <v>77</v>
      </c>
      <c r="L134" s="6"/>
      <c r="M134" s="6"/>
      <c r="N134" s="6"/>
      <c r="O134" s="6"/>
      <c r="P134" s="6"/>
      <c r="Q134" s="6"/>
      <c r="R134" s="6" t="s">
        <v>187</v>
      </c>
    </row>
    <row r="135" customFormat="false" ht="15" hidden="false" customHeight="false" outlineLevel="0" collapsed="false">
      <c r="A135" s="6" t="s">
        <v>714</v>
      </c>
      <c r="B135" s="6" t="s">
        <v>174</v>
      </c>
      <c r="C135" s="6" t="s">
        <v>59</v>
      </c>
      <c r="D135" s="6" t="s">
        <v>715</v>
      </c>
      <c r="E135" s="6" t="s">
        <v>716</v>
      </c>
      <c r="F135" s="6" t="n">
        <v>2021</v>
      </c>
      <c r="G135" s="6"/>
      <c r="H135" s="6" t="s">
        <v>717</v>
      </c>
      <c r="I135" s="6"/>
      <c r="J135" s="6" t="s">
        <v>133</v>
      </c>
      <c r="K135" s="6" t="s">
        <v>77</v>
      </c>
      <c r="L135" s="6"/>
      <c r="M135" s="6"/>
      <c r="N135" s="6"/>
      <c r="O135" s="6"/>
      <c r="P135" s="6"/>
      <c r="Q135" s="6"/>
      <c r="R135" s="6" t="s">
        <v>187</v>
      </c>
    </row>
    <row r="136" customFormat="false" ht="15" hidden="false" customHeight="false" outlineLevel="0" collapsed="false">
      <c r="A136" s="6" t="s">
        <v>718</v>
      </c>
      <c r="B136" s="6" t="s">
        <v>174</v>
      </c>
      <c r="C136" s="6" t="s">
        <v>59</v>
      </c>
      <c r="D136" s="6" t="s">
        <v>719</v>
      </c>
      <c r="E136" s="6" t="s">
        <v>720</v>
      </c>
      <c r="F136" s="6" t="n">
        <v>2022</v>
      </c>
      <c r="G136" s="6"/>
      <c r="H136" s="6" t="s">
        <v>721</v>
      </c>
      <c r="I136" s="6"/>
      <c r="J136" s="6" t="s">
        <v>133</v>
      </c>
      <c r="K136" s="6" t="s">
        <v>77</v>
      </c>
      <c r="L136" s="6"/>
      <c r="M136" s="6"/>
      <c r="N136" s="6"/>
      <c r="O136" s="6"/>
      <c r="P136" s="6"/>
      <c r="Q136" s="6"/>
      <c r="R136" s="6" t="s">
        <v>187</v>
      </c>
    </row>
    <row r="137" customFormat="false" ht="15" hidden="false" customHeight="false" outlineLevel="0" collapsed="false">
      <c r="A137" s="6" t="s">
        <v>722</v>
      </c>
      <c r="B137" s="6" t="s">
        <v>174</v>
      </c>
      <c r="C137" s="6" t="s">
        <v>59</v>
      </c>
      <c r="D137" s="6" t="s">
        <v>723</v>
      </c>
      <c r="E137" s="6" t="s">
        <v>724</v>
      </c>
      <c r="F137" s="6" t="n">
        <v>2013</v>
      </c>
      <c r="G137" s="6"/>
      <c r="H137" s="6" t="s">
        <v>725</v>
      </c>
      <c r="I137" s="6"/>
      <c r="J137" s="6" t="s">
        <v>133</v>
      </c>
      <c r="K137" s="6" t="s">
        <v>77</v>
      </c>
      <c r="L137" s="6"/>
      <c r="M137" s="6"/>
      <c r="N137" s="6"/>
      <c r="O137" s="6"/>
      <c r="P137" s="6"/>
      <c r="Q137" s="6"/>
      <c r="R137" s="6" t="s">
        <v>187</v>
      </c>
    </row>
    <row r="138" customFormat="false" ht="15" hidden="false" customHeight="false" outlineLevel="0" collapsed="false">
      <c r="A138" s="6" t="s">
        <v>726</v>
      </c>
      <c r="B138" s="6" t="s">
        <v>174</v>
      </c>
      <c r="C138" s="6" t="s">
        <v>59</v>
      </c>
      <c r="D138" s="6" t="s">
        <v>727</v>
      </c>
      <c r="E138" s="6" t="s">
        <v>728</v>
      </c>
      <c r="F138" s="6" t="n">
        <v>2017</v>
      </c>
      <c r="G138" s="6"/>
      <c r="H138" s="6" t="s">
        <v>729</v>
      </c>
      <c r="I138" s="6"/>
      <c r="J138" s="6" t="s">
        <v>133</v>
      </c>
      <c r="K138" s="6" t="s">
        <v>77</v>
      </c>
      <c r="L138" s="6"/>
      <c r="M138" s="6"/>
      <c r="N138" s="6"/>
      <c r="O138" s="6"/>
      <c r="P138" s="6"/>
      <c r="Q138" s="6"/>
      <c r="R138" s="6" t="s">
        <v>187</v>
      </c>
    </row>
    <row r="139" customFormat="false" ht="15" hidden="false" customHeight="false" outlineLevel="0" collapsed="false">
      <c r="A139" s="6" t="s">
        <v>730</v>
      </c>
      <c r="B139" s="6" t="s">
        <v>174</v>
      </c>
      <c r="C139" s="6" t="s">
        <v>59</v>
      </c>
      <c r="D139" s="6" t="s">
        <v>731</v>
      </c>
      <c r="E139" s="6" t="s">
        <v>732</v>
      </c>
      <c r="F139" s="6" t="n">
        <v>2020</v>
      </c>
      <c r="G139" s="6"/>
      <c r="H139" s="6" t="s">
        <v>733</v>
      </c>
      <c r="I139" s="6"/>
      <c r="J139" s="6" t="s">
        <v>133</v>
      </c>
      <c r="K139" s="6" t="s">
        <v>77</v>
      </c>
      <c r="L139" s="6"/>
      <c r="M139" s="6"/>
      <c r="N139" s="6"/>
      <c r="O139" s="6"/>
      <c r="P139" s="6"/>
      <c r="Q139" s="6"/>
      <c r="R139" s="6" t="s">
        <v>187</v>
      </c>
    </row>
    <row r="140" customFormat="false" ht="15" hidden="false" customHeight="false" outlineLevel="0" collapsed="false">
      <c r="A140" s="6" t="s">
        <v>734</v>
      </c>
      <c r="B140" s="6" t="s">
        <v>174</v>
      </c>
      <c r="C140" s="6" t="s">
        <v>59</v>
      </c>
      <c r="D140" s="6" t="s">
        <v>735</v>
      </c>
      <c r="E140" s="6" t="s">
        <v>736</v>
      </c>
      <c r="F140" s="6" t="n">
        <v>2025</v>
      </c>
      <c r="G140" s="6"/>
      <c r="H140" s="6" t="s">
        <v>737</v>
      </c>
      <c r="I140" s="6"/>
      <c r="J140" s="6" t="s">
        <v>133</v>
      </c>
      <c r="K140" s="6" t="s">
        <v>77</v>
      </c>
      <c r="L140" s="6"/>
      <c r="M140" s="6"/>
      <c r="N140" s="6"/>
      <c r="O140" s="6"/>
      <c r="P140" s="6"/>
      <c r="Q140" s="6"/>
      <c r="R140" s="6" t="s">
        <v>187</v>
      </c>
    </row>
    <row r="141" customFormat="false" ht="15" hidden="false" customHeight="false" outlineLevel="0" collapsed="false">
      <c r="A141" s="6" t="s">
        <v>738</v>
      </c>
      <c r="B141" s="6" t="s">
        <v>174</v>
      </c>
      <c r="C141" s="6" t="s">
        <v>59</v>
      </c>
      <c r="D141" s="6" t="s">
        <v>739</v>
      </c>
      <c r="E141" s="6" t="s">
        <v>590</v>
      </c>
      <c r="F141" s="6" t="n">
        <v>2019</v>
      </c>
      <c r="G141" s="6"/>
      <c r="H141" s="6" t="s">
        <v>740</v>
      </c>
      <c r="I141" s="6"/>
      <c r="J141" s="6" t="s">
        <v>133</v>
      </c>
      <c r="K141" s="6" t="s">
        <v>77</v>
      </c>
      <c r="L141" s="6"/>
      <c r="M141" s="6"/>
      <c r="N141" s="6"/>
      <c r="O141" s="6"/>
      <c r="P141" s="6"/>
      <c r="Q141" s="6"/>
      <c r="R141" s="6" t="s">
        <v>187</v>
      </c>
    </row>
    <row r="142" customFormat="false" ht="15" hidden="false" customHeight="false" outlineLevel="0" collapsed="false">
      <c r="A142" s="6" t="s">
        <v>741</v>
      </c>
      <c r="B142" s="6" t="s">
        <v>174</v>
      </c>
      <c r="C142" s="6" t="s">
        <v>59</v>
      </c>
      <c r="D142" s="6" t="s">
        <v>742</v>
      </c>
      <c r="E142" s="6" t="s">
        <v>743</v>
      </c>
      <c r="F142" s="6" t="n">
        <v>2024</v>
      </c>
      <c r="G142" s="6"/>
      <c r="H142" s="6" t="s">
        <v>744</v>
      </c>
      <c r="I142" s="6"/>
      <c r="J142" s="6" t="s">
        <v>133</v>
      </c>
      <c r="K142" s="6" t="s">
        <v>77</v>
      </c>
      <c r="L142" s="6"/>
      <c r="M142" s="6"/>
      <c r="N142" s="6"/>
      <c r="O142" s="6"/>
      <c r="P142" s="6"/>
      <c r="Q142" s="6"/>
      <c r="R142" s="6" t="s">
        <v>187</v>
      </c>
    </row>
    <row r="143" customFormat="false" ht="15" hidden="false" customHeight="false" outlineLevel="0" collapsed="false">
      <c r="A143" s="6" t="s">
        <v>745</v>
      </c>
      <c r="B143" s="6" t="s">
        <v>174</v>
      </c>
      <c r="C143" s="6" t="s">
        <v>59</v>
      </c>
      <c r="D143" s="6" t="s">
        <v>746</v>
      </c>
      <c r="E143" s="6" t="s">
        <v>747</v>
      </c>
      <c r="F143" s="6" t="n">
        <v>2026</v>
      </c>
      <c r="G143" s="6"/>
      <c r="H143" s="6" t="s">
        <v>748</v>
      </c>
      <c r="I143" s="6"/>
      <c r="J143" s="6" t="s">
        <v>133</v>
      </c>
      <c r="K143" s="6" t="s">
        <v>77</v>
      </c>
      <c r="L143" s="6"/>
      <c r="M143" s="6"/>
      <c r="N143" s="6"/>
      <c r="O143" s="6"/>
      <c r="P143" s="6"/>
      <c r="Q143" s="6"/>
      <c r="R143" s="6" t="s">
        <v>187</v>
      </c>
    </row>
    <row r="144" customFormat="false" ht="15" hidden="false" customHeight="false" outlineLevel="0" collapsed="false">
      <c r="A144" s="6" t="s">
        <v>749</v>
      </c>
      <c r="B144" s="6" t="s">
        <v>174</v>
      </c>
      <c r="C144" s="6" t="s">
        <v>59</v>
      </c>
      <c r="D144" s="6" t="s">
        <v>750</v>
      </c>
      <c r="E144" s="6" t="s">
        <v>751</v>
      </c>
      <c r="F144" s="6" t="n">
        <v>2024</v>
      </c>
      <c r="G144" s="6"/>
      <c r="H144" s="6" t="s">
        <v>752</v>
      </c>
      <c r="I144" s="6"/>
      <c r="J144" s="6" t="s">
        <v>133</v>
      </c>
      <c r="K144" s="6" t="s">
        <v>77</v>
      </c>
      <c r="L144" s="6"/>
      <c r="M144" s="6"/>
      <c r="N144" s="6"/>
      <c r="O144" s="6"/>
      <c r="P144" s="6"/>
      <c r="Q144" s="6"/>
      <c r="R144" s="6" t="s">
        <v>187</v>
      </c>
    </row>
    <row r="145" customFormat="false" ht="15" hidden="false" customHeight="false" outlineLevel="0" collapsed="false">
      <c r="A145" s="6" t="s">
        <v>753</v>
      </c>
      <c r="B145" s="6" t="s">
        <v>174</v>
      </c>
      <c r="C145" s="6" t="s">
        <v>59</v>
      </c>
      <c r="D145" s="6" t="s">
        <v>754</v>
      </c>
      <c r="E145" s="6" t="s">
        <v>615</v>
      </c>
      <c r="F145" s="6" t="n">
        <v>2024</v>
      </c>
      <c r="G145" s="6"/>
      <c r="H145" s="6" t="s">
        <v>755</v>
      </c>
      <c r="I145" s="6"/>
      <c r="J145" s="6" t="s">
        <v>133</v>
      </c>
      <c r="K145" s="6" t="s">
        <v>89</v>
      </c>
      <c r="L145" s="6"/>
      <c r="M145" s="6"/>
      <c r="N145" s="6"/>
      <c r="O145" s="6"/>
      <c r="P145" s="6"/>
      <c r="Q145" s="6"/>
      <c r="R145" s="6" t="s">
        <v>247</v>
      </c>
    </row>
    <row r="146" customFormat="false" ht="15" hidden="false" customHeight="false" outlineLevel="0" collapsed="false">
      <c r="A146" s="6" t="s">
        <v>756</v>
      </c>
      <c r="B146" s="6" t="s">
        <v>174</v>
      </c>
      <c r="C146" s="6" t="s">
        <v>59</v>
      </c>
      <c r="D146" s="6" t="s">
        <v>757</v>
      </c>
      <c r="E146" s="6" t="s">
        <v>758</v>
      </c>
      <c r="F146" s="6" t="n">
        <v>2026</v>
      </c>
      <c r="G146" s="6"/>
      <c r="H146" s="6" t="s">
        <v>759</v>
      </c>
      <c r="I146" s="6"/>
      <c r="J146" s="6" t="s">
        <v>152</v>
      </c>
      <c r="K146" s="6"/>
      <c r="L146" s="6" t="s">
        <v>133</v>
      </c>
      <c r="M146" s="6" t="s">
        <v>89</v>
      </c>
      <c r="N146" s="6" t="s">
        <v>760</v>
      </c>
      <c r="O146" s="6" t="s">
        <v>272</v>
      </c>
      <c r="P146" s="6" t="s">
        <v>761</v>
      </c>
      <c r="Q146" s="6" t="s">
        <v>137</v>
      </c>
      <c r="R146" s="6" t="s">
        <v>762</v>
      </c>
      <c r="S146" s="6" t="s">
        <v>182</v>
      </c>
    </row>
    <row r="147" customFormat="false" ht="15" hidden="false" customHeight="false" outlineLevel="0" collapsed="false">
      <c r="A147" s="6" t="s">
        <v>763</v>
      </c>
      <c r="B147" s="6" t="s">
        <v>174</v>
      </c>
      <c r="C147" s="6" t="s">
        <v>59</v>
      </c>
      <c r="D147" s="6" t="s">
        <v>764</v>
      </c>
      <c r="E147" s="6" t="s">
        <v>765</v>
      </c>
      <c r="F147" s="6" t="n">
        <v>2025</v>
      </c>
      <c r="G147" s="6"/>
      <c r="H147" s="6" t="s">
        <v>766</v>
      </c>
      <c r="I147" s="6"/>
      <c r="J147" s="6" t="s">
        <v>133</v>
      </c>
      <c r="K147" s="6" t="s">
        <v>77</v>
      </c>
      <c r="L147" s="6"/>
      <c r="M147" s="6"/>
      <c r="N147" s="6"/>
      <c r="O147" s="6"/>
      <c r="P147" s="6"/>
      <c r="Q147" s="6"/>
      <c r="R147" s="6" t="s">
        <v>187</v>
      </c>
    </row>
    <row r="148" customFormat="false" ht="15" hidden="false" customHeight="false" outlineLevel="0" collapsed="false">
      <c r="A148" s="6" t="s">
        <v>767</v>
      </c>
      <c r="B148" s="6" t="s">
        <v>174</v>
      </c>
      <c r="C148" s="6" t="s">
        <v>59</v>
      </c>
      <c r="D148" s="6" t="s">
        <v>768</v>
      </c>
      <c r="E148" s="6" t="s">
        <v>769</v>
      </c>
      <c r="F148" s="6" t="n">
        <v>2025</v>
      </c>
      <c r="G148" s="6"/>
      <c r="H148" s="6" t="s">
        <v>770</v>
      </c>
      <c r="I148" s="6"/>
      <c r="J148" s="6" t="s">
        <v>133</v>
      </c>
      <c r="K148" s="6" t="s">
        <v>77</v>
      </c>
      <c r="L148" s="6"/>
      <c r="M148" s="6"/>
      <c r="N148" s="6"/>
      <c r="O148" s="6"/>
      <c r="P148" s="6"/>
      <c r="Q148" s="6"/>
      <c r="R148" s="6" t="s">
        <v>187</v>
      </c>
    </row>
    <row r="149" customFormat="false" ht="15" hidden="false" customHeight="false" outlineLevel="0" collapsed="false">
      <c r="A149" s="6" t="s">
        <v>771</v>
      </c>
      <c r="B149" s="6" t="s">
        <v>174</v>
      </c>
      <c r="C149" s="6" t="s">
        <v>59</v>
      </c>
      <c r="D149" s="6" t="s">
        <v>772</v>
      </c>
      <c r="E149" s="6" t="s">
        <v>773</v>
      </c>
      <c r="F149" s="6" t="n">
        <v>2022</v>
      </c>
      <c r="G149" s="6"/>
      <c r="H149" s="6" t="s">
        <v>774</v>
      </c>
      <c r="I149" s="6"/>
      <c r="J149" s="6" t="s">
        <v>133</v>
      </c>
      <c r="K149" s="6" t="s">
        <v>77</v>
      </c>
      <c r="L149" s="6"/>
      <c r="M149" s="6"/>
      <c r="N149" s="6"/>
      <c r="O149" s="6"/>
      <c r="P149" s="6"/>
      <c r="Q149" s="6"/>
      <c r="R149" s="6" t="s">
        <v>187</v>
      </c>
    </row>
    <row r="150" customFormat="false" ht="15" hidden="false" customHeight="false" outlineLevel="0" collapsed="false">
      <c r="A150" s="6" t="s">
        <v>775</v>
      </c>
      <c r="B150" s="6" t="s">
        <v>174</v>
      </c>
      <c r="C150" s="6" t="s">
        <v>59</v>
      </c>
      <c r="D150" s="6" t="s">
        <v>776</v>
      </c>
      <c r="E150" s="6" t="s">
        <v>777</v>
      </c>
      <c r="F150" s="6" t="n">
        <v>2025</v>
      </c>
      <c r="G150" s="6"/>
      <c r="H150" s="6" t="s">
        <v>778</v>
      </c>
      <c r="I150" s="6"/>
      <c r="J150" s="6" t="s">
        <v>133</v>
      </c>
      <c r="K150" s="6" t="s">
        <v>77</v>
      </c>
      <c r="L150" s="6"/>
      <c r="M150" s="6"/>
      <c r="N150" s="6"/>
      <c r="O150" s="6"/>
      <c r="P150" s="6"/>
      <c r="Q150" s="6"/>
      <c r="R150" s="6" t="s">
        <v>187</v>
      </c>
    </row>
    <row r="151" customFormat="false" ht="15" hidden="false" customHeight="false" outlineLevel="0" collapsed="false">
      <c r="A151" s="6" t="s">
        <v>779</v>
      </c>
      <c r="B151" s="6" t="s">
        <v>174</v>
      </c>
      <c r="C151" s="6" t="s">
        <v>59</v>
      </c>
      <c r="D151" s="6" t="s">
        <v>780</v>
      </c>
      <c r="E151" s="6" t="s">
        <v>697</v>
      </c>
      <c r="F151" s="6" t="n">
        <v>2022</v>
      </c>
      <c r="G151" s="6"/>
      <c r="H151" s="6" t="s">
        <v>781</v>
      </c>
      <c r="I151" s="6" t="s">
        <v>695</v>
      </c>
      <c r="J151" s="6" t="s">
        <v>133</v>
      </c>
      <c r="K151" s="6" t="s">
        <v>83</v>
      </c>
      <c r="L151" s="6"/>
      <c r="M151" s="6"/>
      <c r="N151" s="6"/>
      <c r="O151" s="6"/>
      <c r="P151" s="6"/>
      <c r="Q151" s="6"/>
      <c r="R151" s="6" t="s">
        <v>230</v>
      </c>
    </row>
    <row r="152" customFormat="false" ht="15" hidden="false" customHeight="false" outlineLevel="0" collapsed="false">
      <c r="A152" s="6" t="s">
        <v>782</v>
      </c>
      <c r="B152" s="6" t="s">
        <v>174</v>
      </c>
      <c r="C152" s="6" t="s">
        <v>59</v>
      </c>
      <c r="D152" s="6" t="s">
        <v>783</v>
      </c>
      <c r="E152" s="6" t="s">
        <v>784</v>
      </c>
      <c r="F152" s="6" t="n">
        <v>2022</v>
      </c>
      <c r="G152" s="6"/>
      <c r="H152" s="6" t="s">
        <v>785</v>
      </c>
      <c r="I152" s="6"/>
      <c r="J152" s="6" t="s">
        <v>133</v>
      </c>
      <c r="K152" s="6" t="s">
        <v>77</v>
      </c>
      <c r="L152" s="6"/>
      <c r="M152" s="6"/>
      <c r="N152" s="6"/>
      <c r="O152" s="6"/>
      <c r="P152" s="6"/>
      <c r="Q152" s="6"/>
      <c r="R152" s="6" t="s">
        <v>187</v>
      </c>
    </row>
    <row r="153" customFormat="false" ht="15" hidden="false" customHeight="false" outlineLevel="0" collapsed="false">
      <c r="A153" s="6" t="s">
        <v>786</v>
      </c>
      <c r="B153" s="6" t="s">
        <v>174</v>
      </c>
      <c r="C153" s="6" t="s">
        <v>59</v>
      </c>
      <c r="D153" s="6" t="s">
        <v>787</v>
      </c>
      <c r="E153" s="6" t="s">
        <v>788</v>
      </c>
      <c r="F153" s="6" t="n">
        <v>2015</v>
      </c>
      <c r="G153" s="6"/>
      <c r="H153" s="6" t="s">
        <v>789</v>
      </c>
      <c r="I153" s="6"/>
      <c r="J153" s="6" t="s">
        <v>133</v>
      </c>
      <c r="K153" s="6" t="s">
        <v>77</v>
      </c>
      <c r="L153" s="6"/>
      <c r="M153" s="6"/>
      <c r="N153" s="6"/>
      <c r="O153" s="6"/>
      <c r="P153" s="6"/>
      <c r="Q153" s="6"/>
      <c r="R153" s="6" t="s">
        <v>187</v>
      </c>
    </row>
    <row r="154" customFormat="false" ht="15" hidden="false" customHeight="false" outlineLevel="0" collapsed="false">
      <c r="A154" s="6" t="s">
        <v>790</v>
      </c>
      <c r="B154" s="6" t="s">
        <v>174</v>
      </c>
      <c r="C154" s="6" t="s">
        <v>59</v>
      </c>
      <c r="D154" s="6" t="s">
        <v>791</v>
      </c>
      <c r="E154" s="6" t="s">
        <v>792</v>
      </c>
      <c r="F154" s="6" t="n">
        <v>2022</v>
      </c>
      <c r="G154" s="6"/>
      <c r="H154" s="6" t="s">
        <v>793</v>
      </c>
      <c r="I154" s="6"/>
      <c r="J154" s="6" t="s">
        <v>133</v>
      </c>
      <c r="K154" s="6" t="s">
        <v>77</v>
      </c>
      <c r="L154" s="6"/>
      <c r="M154" s="6"/>
      <c r="N154" s="6"/>
      <c r="O154" s="6"/>
      <c r="P154" s="6"/>
      <c r="Q154" s="6"/>
      <c r="R154" s="6" t="s">
        <v>187</v>
      </c>
    </row>
    <row r="155" customFormat="false" ht="15" hidden="false" customHeight="false" outlineLevel="0" collapsed="false">
      <c r="A155" s="6" t="s">
        <v>794</v>
      </c>
      <c r="B155" s="6" t="s">
        <v>174</v>
      </c>
      <c r="C155" s="6" t="s">
        <v>59</v>
      </c>
      <c r="D155" s="6" t="s">
        <v>795</v>
      </c>
      <c r="E155" s="6" t="s">
        <v>796</v>
      </c>
      <c r="F155" s="6" t="n">
        <v>2016</v>
      </c>
      <c r="G155" s="6"/>
      <c r="H155" s="6" t="s">
        <v>797</v>
      </c>
      <c r="I155" s="6"/>
      <c r="J155" s="6" t="s">
        <v>133</v>
      </c>
      <c r="K155" s="6" t="s">
        <v>77</v>
      </c>
      <c r="L155" s="6"/>
      <c r="M155" s="6"/>
      <c r="N155" s="6"/>
      <c r="O155" s="6"/>
      <c r="P155" s="6"/>
      <c r="Q155" s="6"/>
      <c r="R155" s="6" t="s">
        <v>187</v>
      </c>
    </row>
    <row r="156" customFormat="false" ht="15" hidden="false" customHeight="false" outlineLevel="0" collapsed="false">
      <c r="A156" s="6" t="s">
        <v>798</v>
      </c>
      <c r="B156" s="6" t="s">
        <v>174</v>
      </c>
      <c r="C156" s="6" t="s">
        <v>59</v>
      </c>
      <c r="D156" s="6" t="s">
        <v>286</v>
      </c>
      <c r="E156" s="6" t="s">
        <v>287</v>
      </c>
      <c r="F156" s="6" t="n">
        <v>2026</v>
      </c>
      <c r="G156" s="6"/>
      <c r="H156" s="6" t="s">
        <v>288</v>
      </c>
      <c r="I156" s="6" t="s">
        <v>285</v>
      </c>
      <c r="J156" s="6" t="s">
        <v>133</v>
      </c>
      <c r="K156" s="6" t="s">
        <v>83</v>
      </c>
      <c r="L156" s="6"/>
      <c r="M156" s="6"/>
      <c r="N156" s="6"/>
      <c r="O156" s="6"/>
      <c r="P156" s="6"/>
      <c r="Q156" s="6"/>
      <c r="R156" s="6" t="s">
        <v>230</v>
      </c>
    </row>
    <row r="157" customFormat="false" ht="15" hidden="false" customHeight="false" outlineLevel="0" collapsed="false">
      <c r="A157" s="6" t="s">
        <v>799</v>
      </c>
      <c r="B157" s="6" t="s">
        <v>174</v>
      </c>
      <c r="C157" s="6" t="s">
        <v>59</v>
      </c>
      <c r="D157" s="6" t="s">
        <v>800</v>
      </c>
      <c r="E157" s="6" t="s">
        <v>801</v>
      </c>
      <c r="F157" s="6" t="n">
        <v>2014</v>
      </c>
      <c r="G157" s="6"/>
      <c r="H157" s="6" t="s">
        <v>802</v>
      </c>
      <c r="I157" s="6"/>
      <c r="J157" s="6" t="s">
        <v>133</v>
      </c>
      <c r="K157" s="6" t="s">
        <v>77</v>
      </c>
      <c r="L157" s="6"/>
      <c r="M157" s="6"/>
      <c r="N157" s="6"/>
      <c r="O157" s="6"/>
      <c r="P157" s="6"/>
      <c r="Q157" s="6"/>
      <c r="R157" s="6" t="s">
        <v>187</v>
      </c>
    </row>
    <row r="158" customFormat="false" ht="15" hidden="false" customHeight="false" outlineLevel="0" collapsed="false">
      <c r="A158" s="6" t="s">
        <v>803</v>
      </c>
      <c r="B158" s="6" t="s">
        <v>174</v>
      </c>
      <c r="C158" s="6" t="s">
        <v>59</v>
      </c>
      <c r="D158" s="6" t="s">
        <v>804</v>
      </c>
      <c r="E158" s="6" t="s">
        <v>805</v>
      </c>
      <c r="F158" s="6" t="n">
        <v>2023</v>
      </c>
      <c r="G158" s="6"/>
      <c r="H158" s="6" t="s">
        <v>806</v>
      </c>
      <c r="I158" s="6"/>
      <c r="J158" s="6" t="s">
        <v>133</v>
      </c>
      <c r="K158" s="6" t="s">
        <v>77</v>
      </c>
      <c r="L158" s="6"/>
      <c r="M158" s="6"/>
      <c r="N158" s="6"/>
      <c r="O158" s="6"/>
      <c r="P158" s="6"/>
      <c r="Q158" s="6"/>
      <c r="R158" s="6" t="s">
        <v>187</v>
      </c>
    </row>
    <row r="159" customFormat="false" ht="15" hidden="false" customHeight="false" outlineLevel="0" collapsed="false">
      <c r="A159" s="6" t="s">
        <v>807</v>
      </c>
      <c r="B159" s="6" t="s">
        <v>174</v>
      </c>
      <c r="C159" s="6" t="s">
        <v>59</v>
      </c>
      <c r="D159" s="6" t="s">
        <v>808</v>
      </c>
      <c r="E159" s="6" t="s">
        <v>809</v>
      </c>
      <c r="F159" s="6" t="n">
        <v>2014</v>
      </c>
      <c r="G159" s="6"/>
      <c r="H159" s="6" t="s">
        <v>810</v>
      </c>
      <c r="I159" s="6"/>
      <c r="J159" s="6" t="s">
        <v>133</v>
      </c>
      <c r="K159" s="6" t="s">
        <v>77</v>
      </c>
      <c r="L159" s="6"/>
      <c r="M159" s="6"/>
      <c r="N159" s="6"/>
      <c r="O159" s="6"/>
      <c r="P159" s="6"/>
      <c r="Q159" s="6"/>
      <c r="R159" s="6" t="s">
        <v>187</v>
      </c>
    </row>
    <row r="160" customFormat="false" ht="15" hidden="false" customHeight="false" outlineLevel="0" collapsed="false">
      <c r="A160" s="6" t="s">
        <v>811</v>
      </c>
      <c r="B160" s="6" t="s">
        <v>174</v>
      </c>
      <c r="C160" s="6" t="s">
        <v>59</v>
      </c>
      <c r="D160" s="6" t="s">
        <v>812</v>
      </c>
      <c r="E160" s="6" t="s">
        <v>813</v>
      </c>
      <c r="F160" s="6" t="n">
        <v>2022</v>
      </c>
      <c r="G160" s="6"/>
      <c r="H160" s="6" t="s">
        <v>814</v>
      </c>
      <c r="I160" s="6"/>
      <c r="J160" s="6" t="s">
        <v>133</v>
      </c>
      <c r="K160" s="6" t="s">
        <v>77</v>
      </c>
      <c r="L160" s="6"/>
      <c r="M160" s="6"/>
      <c r="N160" s="6"/>
      <c r="O160" s="6"/>
      <c r="P160" s="6"/>
      <c r="Q160" s="6"/>
      <c r="R160" s="6" t="s">
        <v>187</v>
      </c>
    </row>
    <row r="161" customFormat="false" ht="15" hidden="false" customHeight="false" outlineLevel="0" collapsed="false">
      <c r="A161" s="6" t="s">
        <v>815</v>
      </c>
      <c r="B161" s="6" t="s">
        <v>174</v>
      </c>
      <c r="C161" s="6" t="s">
        <v>59</v>
      </c>
      <c r="D161" s="6" t="s">
        <v>816</v>
      </c>
      <c r="E161" s="6" t="s">
        <v>817</v>
      </c>
      <c r="F161" s="6" t="n">
        <v>2013</v>
      </c>
      <c r="G161" s="6"/>
      <c r="H161" s="6" t="s">
        <v>818</v>
      </c>
      <c r="I161" s="6"/>
      <c r="J161" s="6" t="s">
        <v>133</v>
      </c>
      <c r="K161" s="6" t="s">
        <v>77</v>
      </c>
      <c r="L161" s="6"/>
      <c r="M161" s="6"/>
      <c r="N161" s="6"/>
      <c r="O161" s="6"/>
      <c r="P161" s="6"/>
      <c r="Q161" s="6"/>
      <c r="R161" s="6" t="s">
        <v>187</v>
      </c>
    </row>
    <row r="162" customFormat="false" ht="15" hidden="false" customHeight="false" outlineLevel="0" collapsed="false">
      <c r="A162" s="6" t="s">
        <v>819</v>
      </c>
      <c r="B162" s="6" t="s">
        <v>174</v>
      </c>
      <c r="C162" s="6" t="s">
        <v>59</v>
      </c>
      <c r="D162" s="6" t="s">
        <v>820</v>
      </c>
      <c r="E162" s="6" t="s">
        <v>821</v>
      </c>
      <c r="F162" s="6" t="n">
        <v>2019</v>
      </c>
      <c r="G162" s="6"/>
      <c r="H162" s="6" t="s">
        <v>822</v>
      </c>
      <c r="I162" s="6"/>
      <c r="J162" s="6" t="s">
        <v>133</v>
      </c>
      <c r="K162" s="6" t="s">
        <v>77</v>
      </c>
      <c r="L162" s="6"/>
      <c r="M162" s="6"/>
      <c r="N162" s="6"/>
      <c r="O162" s="6"/>
      <c r="P162" s="6"/>
      <c r="Q162" s="6"/>
      <c r="R162" s="6" t="s">
        <v>187</v>
      </c>
    </row>
    <row r="163" customFormat="false" ht="15" hidden="false" customHeight="false" outlineLevel="0" collapsed="false">
      <c r="A163" s="6" t="s">
        <v>823</v>
      </c>
      <c r="B163" s="6" t="s">
        <v>174</v>
      </c>
      <c r="C163" s="6" t="s">
        <v>59</v>
      </c>
      <c r="D163" s="6" t="s">
        <v>824</v>
      </c>
      <c r="E163" s="6" t="s">
        <v>825</v>
      </c>
      <c r="F163" s="6" t="n">
        <v>2014</v>
      </c>
      <c r="G163" s="6"/>
      <c r="H163" s="6" t="s">
        <v>826</v>
      </c>
      <c r="I163" s="6"/>
      <c r="J163" s="6" t="s">
        <v>133</v>
      </c>
      <c r="K163" s="6" t="s">
        <v>77</v>
      </c>
      <c r="L163" s="6"/>
      <c r="M163" s="6"/>
      <c r="N163" s="6"/>
      <c r="O163" s="6"/>
      <c r="P163" s="6"/>
      <c r="Q163" s="6"/>
      <c r="R163" s="6" t="s">
        <v>187</v>
      </c>
    </row>
    <row r="164" customFormat="false" ht="15" hidden="false" customHeight="false" outlineLevel="0" collapsed="false">
      <c r="A164" s="6" t="s">
        <v>827</v>
      </c>
      <c r="B164" s="6" t="s">
        <v>174</v>
      </c>
      <c r="C164" s="6" t="s">
        <v>59</v>
      </c>
      <c r="D164" s="6" t="s">
        <v>828</v>
      </c>
      <c r="E164" s="6" t="s">
        <v>829</v>
      </c>
      <c r="F164" s="6" t="n">
        <v>2018</v>
      </c>
      <c r="G164" s="6"/>
      <c r="H164" s="6" t="s">
        <v>830</v>
      </c>
      <c r="I164" s="6"/>
      <c r="J164" s="6" t="s">
        <v>133</v>
      </c>
      <c r="K164" s="6" t="s">
        <v>77</v>
      </c>
      <c r="L164" s="6"/>
      <c r="M164" s="6"/>
      <c r="N164" s="6"/>
      <c r="O164" s="6"/>
      <c r="P164" s="6"/>
      <c r="Q164" s="6"/>
      <c r="R164" s="6" t="s">
        <v>187</v>
      </c>
    </row>
    <row r="165" customFormat="false" ht="15" hidden="false" customHeight="false" outlineLevel="0" collapsed="false">
      <c r="A165" s="6" t="s">
        <v>831</v>
      </c>
      <c r="B165" s="6" t="s">
        <v>174</v>
      </c>
      <c r="C165" s="6" t="s">
        <v>59</v>
      </c>
      <c r="D165" s="6" t="s">
        <v>832</v>
      </c>
      <c r="E165" s="6" t="s">
        <v>833</v>
      </c>
      <c r="F165" s="6" t="n">
        <v>2012</v>
      </c>
      <c r="G165" s="6"/>
      <c r="H165" s="6" t="s">
        <v>834</v>
      </c>
      <c r="I165" s="6"/>
      <c r="J165" s="6" t="s">
        <v>133</v>
      </c>
      <c r="K165" s="6" t="s">
        <v>77</v>
      </c>
      <c r="L165" s="6"/>
      <c r="M165" s="6"/>
      <c r="N165" s="6"/>
      <c r="O165" s="6"/>
      <c r="P165" s="6"/>
      <c r="Q165" s="6"/>
      <c r="R165" s="6" t="s">
        <v>187</v>
      </c>
    </row>
    <row r="166" customFormat="false" ht="15" hidden="false" customHeight="false" outlineLevel="0" collapsed="false">
      <c r="A166" s="6" t="s">
        <v>835</v>
      </c>
      <c r="B166" s="6" t="s">
        <v>174</v>
      </c>
      <c r="C166" s="6" t="s">
        <v>59</v>
      </c>
      <c r="D166" s="6" t="s">
        <v>836</v>
      </c>
      <c r="E166" s="6" t="s">
        <v>837</v>
      </c>
      <c r="F166" s="6" t="n">
        <v>2021</v>
      </c>
      <c r="G166" s="6"/>
      <c r="H166" s="6" t="s">
        <v>838</v>
      </c>
      <c r="I166" s="6"/>
      <c r="J166" s="6" t="s">
        <v>133</v>
      </c>
      <c r="K166" s="6" t="s">
        <v>77</v>
      </c>
      <c r="L166" s="6"/>
      <c r="M166" s="6"/>
      <c r="N166" s="6"/>
      <c r="O166" s="6"/>
      <c r="P166" s="6"/>
      <c r="Q166" s="6"/>
      <c r="R166" s="6" t="s">
        <v>187</v>
      </c>
    </row>
    <row r="167" customFormat="false" ht="15" hidden="false" customHeight="false" outlineLevel="0" collapsed="false">
      <c r="A167" s="6" t="s">
        <v>839</v>
      </c>
      <c r="B167" s="6" t="s">
        <v>174</v>
      </c>
      <c r="C167" s="6" t="s">
        <v>59</v>
      </c>
      <c r="D167" s="6" t="s">
        <v>840</v>
      </c>
      <c r="E167" s="6" t="s">
        <v>841</v>
      </c>
      <c r="F167" s="6" t="n">
        <v>2022</v>
      </c>
      <c r="G167" s="6"/>
      <c r="H167" s="6" t="s">
        <v>842</v>
      </c>
      <c r="I167" s="6"/>
      <c r="J167" s="6" t="s">
        <v>133</v>
      </c>
      <c r="K167" s="6" t="s">
        <v>77</v>
      </c>
      <c r="L167" s="6"/>
      <c r="M167" s="6"/>
      <c r="N167" s="6"/>
      <c r="O167" s="6"/>
      <c r="P167" s="6"/>
      <c r="Q167" s="6"/>
      <c r="R167" s="6" t="s">
        <v>187</v>
      </c>
    </row>
    <row r="168" customFormat="false" ht="15" hidden="false" customHeight="false" outlineLevel="0" collapsed="false">
      <c r="A168" s="6" t="s">
        <v>843</v>
      </c>
      <c r="B168" s="6" t="s">
        <v>174</v>
      </c>
      <c r="C168" s="6" t="s">
        <v>59</v>
      </c>
      <c r="D168" s="6" t="s">
        <v>844</v>
      </c>
      <c r="E168" s="6" t="s">
        <v>845</v>
      </c>
      <c r="F168" s="6" t="n">
        <v>2020</v>
      </c>
      <c r="G168" s="6"/>
      <c r="H168" s="6" t="s">
        <v>846</v>
      </c>
      <c r="I168" s="6"/>
      <c r="J168" s="6" t="s">
        <v>133</v>
      </c>
      <c r="K168" s="6" t="s">
        <v>77</v>
      </c>
      <c r="L168" s="6"/>
      <c r="M168" s="6"/>
      <c r="N168" s="6"/>
      <c r="O168" s="6"/>
      <c r="P168" s="6"/>
      <c r="Q168" s="6"/>
      <c r="R168" s="6" t="s">
        <v>187</v>
      </c>
    </row>
    <row r="169" customFormat="false" ht="15" hidden="false" customHeight="false" outlineLevel="0" collapsed="false">
      <c r="A169" s="6" t="s">
        <v>847</v>
      </c>
      <c r="B169" s="6" t="s">
        <v>174</v>
      </c>
      <c r="C169" s="6" t="s">
        <v>59</v>
      </c>
      <c r="D169" s="6" t="s">
        <v>848</v>
      </c>
      <c r="E169" s="6" t="s">
        <v>849</v>
      </c>
      <c r="F169" s="6" t="n">
        <v>2018</v>
      </c>
      <c r="G169" s="6"/>
      <c r="H169" s="6" t="s">
        <v>850</v>
      </c>
      <c r="I169" s="6"/>
      <c r="J169" s="6" t="s">
        <v>133</v>
      </c>
      <c r="K169" s="6" t="s">
        <v>77</v>
      </c>
      <c r="L169" s="6"/>
      <c r="M169" s="6"/>
      <c r="N169" s="6"/>
      <c r="O169" s="6"/>
      <c r="P169" s="6"/>
      <c r="Q169" s="6"/>
      <c r="R169" s="6" t="s">
        <v>187</v>
      </c>
    </row>
    <row r="170" customFormat="false" ht="15" hidden="false" customHeight="false" outlineLevel="0" collapsed="false">
      <c r="A170" s="6" t="s">
        <v>851</v>
      </c>
      <c r="B170" s="6" t="s">
        <v>174</v>
      </c>
      <c r="C170" s="6" t="s">
        <v>59</v>
      </c>
      <c r="D170" s="6" t="s">
        <v>852</v>
      </c>
      <c r="E170" s="6" t="s">
        <v>853</v>
      </c>
      <c r="F170" s="6" t="n">
        <v>2023</v>
      </c>
      <c r="G170" s="6"/>
      <c r="H170" s="6" t="s">
        <v>854</v>
      </c>
      <c r="I170" s="6"/>
      <c r="J170" s="6" t="s">
        <v>133</v>
      </c>
      <c r="K170" s="6" t="s">
        <v>77</v>
      </c>
      <c r="L170" s="6"/>
      <c r="M170" s="6"/>
      <c r="N170" s="6"/>
      <c r="O170" s="6"/>
      <c r="P170" s="6"/>
      <c r="Q170" s="6"/>
      <c r="R170" s="6" t="s">
        <v>187</v>
      </c>
    </row>
    <row r="171" customFormat="false" ht="15" hidden="false" customHeight="false" outlineLevel="0" collapsed="false">
      <c r="A171" s="6" t="s">
        <v>855</v>
      </c>
      <c r="B171" s="6" t="s">
        <v>174</v>
      </c>
      <c r="C171" s="6" t="s">
        <v>59</v>
      </c>
      <c r="D171" s="6" t="s">
        <v>856</v>
      </c>
      <c r="E171" s="6" t="s">
        <v>857</v>
      </c>
      <c r="F171" s="6" t="n">
        <v>2020</v>
      </c>
      <c r="G171" s="6"/>
      <c r="H171" s="6" t="s">
        <v>858</v>
      </c>
      <c r="I171" s="6"/>
      <c r="J171" s="6" t="s">
        <v>133</v>
      </c>
      <c r="K171" s="6" t="s">
        <v>77</v>
      </c>
      <c r="L171" s="6"/>
      <c r="M171" s="6"/>
      <c r="N171" s="6"/>
      <c r="O171" s="6"/>
      <c r="P171" s="6"/>
      <c r="Q171" s="6"/>
      <c r="R171" s="6" t="s">
        <v>187</v>
      </c>
    </row>
    <row r="172" customFormat="false" ht="15" hidden="false" customHeight="false" outlineLevel="0" collapsed="false">
      <c r="A172" s="6" t="s">
        <v>859</v>
      </c>
      <c r="B172" s="6" t="s">
        <v>174</v>
      </c>
      <c r="C172" s="6" t="s">
        <v>59</v>
      </c>
      <c r="D172" s="6" t="s">
        <v>860</v>
      </c>
      <c r="E172" s="6" t="s">
        <v>861</v>
      </c>
      <c r="F172" s="6" t="n">
        <v>2020</v>
      </c>
      <c r="G172" s="6"/>
      <c r="H172" s="6" t="s">
        <v>862</v>
      </c>
      <c r="I172" s="6"/>
      <c r="J172" s="6" t="s">
        <v>133</v>
      </c>
      <c r="K172" s="6" t="s">
        <v>77</v>
      </c>
      <c r="L172" s="6"/>
      <c r="M172" s="6"/>
      <c r="N172" s="6"/>
      <c r="O172" s="6"/>
      <c r="P172" s="6"/>
      <c r="Q172" s="6"/>
      <c r="R172" s="6" t="s">
        <v>187</v>
      </c>
    </row>
    <row r="173" customFormat="false" ht="15" hidden="false" customHeight="false" outlineLevel="0" collapsed="false">
      <c r="A173" s="6" t="s">
        <v>863</v>
      </c>
      <c r="B173" s="6" t="s">
        <v>174</v>
      </c>
      <c r="C173" s="6" t="s">
        <v>59</v>
      </c>
      <c r="D173" s="6" t="s">
        <v>864</v>
      </c>
      <c r="E173" s="6" t="s">
        <v>865</v>
      </c>
      <c r="F173" s="6" t="n">
        <v>2023</v>
      </c>
      <c r="G173" s="6"/>
      <c r="H173" s="6" t="s">
        <v>866</v>
      </c>
      <c r="I173" s="6"/>
      <c r="J173" s="6" t="s">
        <v>133</v>
      </c>
      <c r="K173" s="6" t="s">
        <v>77</v>
      </c>
      <c r="L173" s="6"/>
      <c r="M173" s="6"/>
      <c r="N173" s="6"/>
      <c r="O173" s="6"/>
      <c r="P173" s="6"/>
      <c r="Q173" s="6"/>
      <c r="R173" s="6" t="s">
        <v>187</v>
      </c>
    </row>
    <row r="174" customFormat="false" ht="15" hidden="false" customHeight="false" outlineLevel="0" collapsed="false">
      <c r="A174" s="6" t="s">
        <v>867</v>
      </c>
      <c r="B174" s="6" t="s">
        <v>174</v>
      </c>
      <c r="C174" s="6" t="s">
        <v>59</v>
      </c>
      <c r="D174" s="6" t="s">
        <v>868</v>
      </c>
      <c r="E174" s="6" t="s">
        <v>869</v>
      </c>
      <c r="F174" s="6" t="n">
        <v>2021</v>
      </c>
      <c r="G174" s="6"/>
      <c r="H174" s="6" t="s">
        <v>870</v>
      </c>
      <c r="I174" s="6"/>
      <c r="J174" s="6" t="s">
        <v>133</v>
      </c>
      <c r="K174" s="6" t="s">
        <v>77</v>
      </c>
      <c r="L174" s="6"/>
      <c r="M174" s="6"/>
      <c r="N174" s="6"/>
      <c r="O174" s="6"/>
      <c r="P174" s="6"/>
      <c r="Q174" s="6"/>
      <c r="R174" s="6" t="s">
        <v>187</v>
      </c>
    </row>
    <row r="175" customFormat="false" ht="15" hidden="false" customHeight="false" outlineLevel="0" collapsed="false">
      <c r="A175" s="6" t="s">
        <v>871</v>
      </c>
      <c r="B175" s="6" t="s">
        <v>174</v>
      </c>
      <c r="C175" s="6" t="s">
        <v>59</v>
      </c>
      <c r="D175" s="6" t="s">
        <v>872</v>
      </c>
      <c r="E175" s="6" t="s">
        <v>873</v>
      </c>
      <c r="F175" s="6" t="n">
        <v>2024</v>
      </c>
      <c r="G175" s="6"/>
      <c r="H175" s="6" t="s">
        <v>874</v>
      </c>
      <c r="I175" s="6"/>
      <c r="J175" s="6" t="s">
        <v>133</v>
      </c>
      <c r="K175" s="6" t="s">
        <v>77</v>
      </c>
      <c r="L175" s="6"/>
      <c r="M175" s="6"/>
      <c r="N175" s="6"/>
      <c r="O175" s="6"/>
      <c r="P175" s="6"/>
      <c r="Q175" s="6"/>
      <c r="R175" s="6" t="s">
        <v>187</v>
      </c>
    </row>
    <row r="176" customFormat="false" ht="15" hidden="false" customHeight="false" outlineLevel="0" collapsed="false">
      <c r="A176" s="6" t="s">
        <v>875</v>
      </c>
      <c r="B176" s="6" t="s">
        <v>174</v>
      </c>
      <c r="C176" s="6" t="s">
        <v>59</v>
      </c>
      <c r="D176" s="6" t="s">
        <v>876</v>
      </c>
      <c r="E176" s="6" t="s">
        <v>877</v>
      </c>
      <c r="F176" s="6" t="n">
        <v>2022</v>
      </c>
      <c r="G176" s="6"/>
      <c r="H176" s="6" t="s">
        <v>878</v>
      </c>
      <c r="I176" s="6"/>
      <c r="J176" s="6" t="s">
        <v>133</v>
      </c>
      <c r="K176" s="6" t="s">
        <v>77</v>
      </c>
      <c r="L176" s="6"/>
      <c r="M176" s="6"/>
      <c r="N176" s="6"/>
      <c r="O176" s="6"/>
      <c r="P176" s="6"/>
      <c r="Q176" s="6"/>
      <c r="R176" s="6" t="s">
        <v>187</v>
      </c>
    </row>
    <row r="177" customFormat="false" ht="15" hidden="false" customHeight="false" outlineLevel="0" collapsed="false">
      <c r="A177" s="6" t="s">
        <v>879</v>
      </c>
      <c r="B177" s="6" t="s">
        <v>174</v>
      </c>
      <c r="C177" s="6" t="s">
        <v>59</v>
      </c>
      <c r="D177" s="6" t="s">
        <v>880</v>
      </c>
      <c r="E177" s="6" t="s">
        <v>881</v>
      </c>
      <c r="F177" s="6" t="n">
        <v>2016</v>
      </c>
      <c r="G177" s="6"/>
      <c r="H177" s="6" t="s">
        <v>882</v>
      </c>
      <c r="I177" s="6"/>
      <c r="J177" s="6" t="s">
        <v>133</v>
      </c>
      <c r="K177" s="6" t="s">
        <v>77</v>
      </c>
      <c r="L177" s="6"/>
      <c r="M177" s="6"/>
      <c r="N177" s="6"/>
      <c r="O177" s="6"/>
      <c r="P177" s="6"/>
      <c r="Q177" s="6"/>
      <c r="R177" s="6" t="s">
        <v>187</v>
      </c>
    </row>
    <row r="178" customFormat="false" ht="15" hidden="false" customHeight="false" outlineLevel="0" collapsed="false">
      <c r="A178" s="6" t="s">
        <v>883</v>
      </c>
      <c r="B178" s="6" t="s">
        <v>174</v>
      </c>
      <c r="C178" s="6" t="s">
        <v>59</v>
      </c>
      <c r="D178" s="6" t="s">
        <v>884</v>
      </c>
      <c r="E178" s="6" t="s">
        <v>885</v>
      </c>
      <c r="F178" s="6" t="n">
        <v>2023</v>
      </c>
      <c r="G178" s="6"/>
      <c r="H178" s="6" t="s">
        <v>886</v>
      </c>
      <c r="I178" s="6"/>
      <c r="J178" s="6" t="s">
        <v>133</v>
      </c>
      <c r="K178" s="6" t="s">
        <v>77</v>
      </c>
      <c r="L178" s="6"/>
      <c r="M178" s="6"/>
      <c r="N178" s="6"/>
      <c r="O178" s="6"/>
      <c r="P178" s="6"/>
      <c r="Q178" s="6"/>
      <c r="R178" s="6" t="s">
        <v>187</v>
      </c>
    </row>
    <row r="179" customFormat="false" ht="15" hidden="false" customHeight="false" outlineLevel="0" collapsed="false">
      <c r="A179" s="6" t="s">
        <v>887</v>
      </c>
      <c r="B179" s="6" t="s">
        <v>174</v>
      </c>
      <c r="C179" s="6" t="s">
        <v>59</v>
      </c>
      <c r="D179" s="6" t="s">
        <v>888</v>
      </c>
      <c r="E179" s="6" t="s">
        <v>889</v>
      </c>
      <c r="F179" s="6" t="n">
        <v>2024</v>
      </c>
      <c r="G179" s="6"/>
      <c r="H179" s="6" t="s">
        <v>890</v>
      </c>
      <c r="I179" s="6"/>
      <c r="J179" s="6" t="s">
        <v>133</v>
      </c>
      <c r="K179" s="6" t="s">
        <v>77</v>
      </c>
      <c r="L179" s="6"/>
      <c r="M179" s="6"/>
      <c r="N179" s="6"/>
      <c r="O179" s="6"/>
      <c r="P179" s="6"/>
      <c r="Q179" s="6"/>
      <c r="R179" s="6" t="s">
        <v>187</v>
      </c>
    </row>
    <row r="180" customFormat="false" ht="15" hidden="false" customHeight="false" outlineLevel="0" collapsed="false">
      <c r="A180" s="6" t="s">
        <v>891</v>
      </c>
      <c r="B180" s="6" t="s">
        <v>174</v>
      </c>
      <c r="C180" s="6" t="s">
        <v>59</v>
      </c>
      <c r="D180" s="6" t="s">
        <v>892</v>
      </c>
      <c r="E180" s="6" t="s">
        <v>893</v>
      </c>
      <c r="F180" s="6" t="n">
        <v>2012</v>
      </c>
      <c r="G180" s="6"/>
      <c r="H180" s="6" t="s">
        <v>894</v>
      </c>
      <c r="I180" s="6"/>
      <c r="J180" s="6" t="s">
        <v>133</v>
      </c>
      <c r="K180" s="6" t="s">
        <v>77</v>
      </c>
      <c r="L180" s="6"/>
      <c r="M180" s="6"/>
      <c r="N180" s="6"/>
      <c r="O180" s="6"/>
      <c r="P180" s="6"/>
      <c r="Q180" s="6"/>
      <c r="R180" s="6" t="s">
        <v>187</v>
      </c>
    </row>
    <row r="181" customFormat="false" ht="15" hidden="false" customHeight="false" outlineLevel="0" collapsed="false">
      <c r="A181" s="6" t="s">
        <v>895</v>
      </c>
      <c r="B181" s="6" t="s">
        <v>174</v>
      </c>
      <c r="C181" s="6" t="s">
        <v>59</v>
      </c>
      <c r="D181" s="6" t="s">
        <v>896</v>
      </c>
      <c r="E181" s="6" t="s">
        <v>897</v>
      </c>
      <c r="F181" s="6" t="n">
        <v>2016</v>
      </c>
      <c r="G181" s="6"/>
      <c r="H181" s="6" t="s">
        <v>898</v>
      </c>
      <c r="I181" s="6"/>
      <c r="J181" s="6" t="s">
        <v>133</v>
      </c>
      <c r="K181" s="6" t="s">
        <v>77</v>
      </c>
      <c r="L181" s="6"/>
      <c r="M181" s="6"/>
      <c r="N181" s="6"/>
      <c r="O181" s="6"/>
      <c r="P181" s="6"/>
      <c r="Q181" s="6"/>
      <c r="R181" s="6" t="s">
        <v>187</v>
      </c>
    </row>
    <row r="182" customFormat="false" ht="15" hidden="false" customHeight="false" outlineLevel="0" collapsed="false">
      <c r="A182" s="6" t="s">
        <v>899</v>
      </c>
      <c r="B182" s="6" t="s">
        <v>174</v>
      </c>
      <c r="C182" s="6" t="s">
        <v>59</v>
      </c>
      <c r="D182" s="6" t="s">
        <v>900</v>
      </c>
      <c r="E182" s="6" t="s">
        <v>901</v>
      </c>
      <c r="F182" s="6" t="n">
        <v>2024</v>
      </c>
      <c r="G182" s="6"/>
      <c r="H182" s="6" t="s">
        <v>902</v>
      </c>
      <c r="I182" s="6"/>
      <c r="J182" s="6" t="s">
        <v>133</v>
      </c>
      <c r="K182" s="6" t="s">
        <v>77</v>
      </c>
      <c r="L182" s="6"/>
      <c r="M182" s="6"/>
      <c r="N182" s="6"/>
      <c r="O182" s="6"/>
      <c r="P182" s="6"/>
      <c r="Q182" s="6"/>
      <c r="R182" s="6" t="s">
        <v>187</v>
      </c>
    </row>
    <row r="183" customFormat="false" ht="15" hidden="false" customHeight="false" outlineLevel="0" collapsed="false">
      <c r="A183" s="6" t="s">
        <v>903</v>
      </c>
      <c r="B183" s="6" t="s">
        <v>174</v>
      </c>
      <c r="C183" s="6" t="s">
        <v>59</v>
      </c>
      <c r="D183" s="6" t="s">
        <v>904</v>
      </c>
      <c r="E183" s="6" t="s">
        <v>905</v>
      </c>
      <c r="F183" s="6" t="n">
        <v>2023</v>
      </c>
      <c r="G183" s="6"/>
      <c r="H183" s="6" t="s">
        <v>906</v>
      </c>
      <c r="I183" s="6"/>
      <c r="J183" s="6" t="s">
        <v>133</v>
      </c>
      <c r="K183" s="6" t="s">
        <v>77</v>
      </c>
      <c r="L183" s="6"/>
      <c r="M183" s="6"/>
      <c r="N183" s="6"/>
      <c r="O183" s="6"/>
      <c r="P183" s="6"/>
      <c r="Q183" s="6"/>
      <c r="R183" s="6" t="s">
        <v>187</v>
      </c>
    </row>
    <row r="184" customFormat="false" ht="15" hidden="false" customHeight="false" outlineLevel="0" collapsed="false">
      <c r="A184" s="6" t="s">
        <v>907</v>
      </c>
      <c r="B184" s="6" t="s">
        <v>174</v>
      </c>
      <c r="C184" s="6" t="s">
        <v>59</v>
      </c>
      <c r="D184" s="6" t="s">
        <v>908</v>
      </c>
      <c r="E184" s="6" t="s">
        <v>909</v>
      </c>
      <c r="F184" s="6" t="n">
        <v>2025</v>
      </c>
      <c r="G184" s="6"/>
      <c r="H184" s="6" t="s">
        <v>910</v>
      </c>
      <c r="I184" s="6"/>
      <c r="J184" s="6" t="s">
        <v>133</v>
      </c>
      <c r="K184" s="6" t="s">
        <v>77</v>
      </c>
      <c r="L184" s="6"/>
      <c r="M184" s="6"/>
      <c r="N184" s="6"/>
      <c r="O184" s="6"/>
      <c r="P184" s="6"/>
      <c r="Q184" s="6"/>
      <c r="R184" s="6" t="s">
        <v>187</v>
      </c>
    </row>
    <row r="185" customFormat="false" ht="15" hidden="false" customHeight="false" outlineLevel="0" collapsed="false">
      <c r="A185" s="6" t="s">
        <v>911</v>
      </c>
      <c r="B185" s="6" t="s">
        <v>174</v>
      </c>
      <c r="C185" s="6" t="s">
        <v>59</v>
      </c>
      <c r="D185" s="6" t="s">
        <v>912</v>
      </c>
      <c r="E185" s="6" t="s">
        <v>913</v>
      </c>
      <c r="F185" s="6" t="n">
        <v>2026</v>
      </c>
      <c r="G185" s="6"/>
      <c r="H185" s="6" t="s">
        <v>914</v>
      </c>
      <c r="I185" s="6"/>
      <c r="J185" s="6" t="s">
        <v>133</v>
      </c>
      <c r="K185" s="6" t="s">
        <v>77</v>
      </c>
      <c r="L185" s="6"/>
      <c r="M185" s="6"/>
      <c r="N185" s="6"/>
      <c r="O185" s="6"/>
      <c r="P185" s="6"/>
      <c r="Q185" s="6"/>
      <c r="R185" s="6" t="s">
        <v>187</v>
      </c>
    </row>
    <row r="186" customFormat="false" ht="15" hidden="false" customHeight="false" outlineLevel="0" collapsed="false">
      <c r="A186" s="6" t="s">
        <v>915</v>
      </c>
      <c r="B186" s="6" t="s">
        <v>174</v>
      </c>
      <c r="C186" s="6" t="s">
        <v>59</v>
      </c>
      <c r="D186" s="6" t="s">
        <v>916</v>
      </c>
      <c r="E186" s="6" t="s">
        <v>917</v>
      </c>
      <c r="F186" s="6" t="n">
        <v>2017</v>
      </c>
      <c r="G186" s="6"/>
      <c r="H186" s="6" t="s">
        <v>918</v>
      </c>
      <c r="I186" s="6"/>
      <c r="J186" s="6" t="s">
        <v>133</v>
      </c>
      <c r="K186" s="6" t="s">
        <v>77</v>
      </c>
      <c r="L186" s="6"/>
      <c r="M186" s="6"/>
      <c r="N186" s="6"/>
      <c r="O186" s="6"/>
      <c r="P186" s="6"/>
      <c r="Q186" s="6"/>
      <c r="R186" s="6" t="s">
        <v>187</v>
      </c>
    </row>
    <row r="187" customFormat="false" ht="15" hidden="false" customHeight="false" outlineLevel="0" collapsed="false">
      <c r="A187" s="6" t="s">
        <v>919</v>
      </c>
      <c r="B187" s="6" t="s">
        <v>174</v>
      </c>
      <c r="C187" s="6" t="s">
        <v>59</v>
      </c>
      <c r="D187" s="6" t="s">
        <v>920</v>
      </c>
      <c r="E187" s="6" t="s">
        <v>921</v>
      </c>
      <c r="F187" s="6" t="n">
        <v>2026</v>
      </c>
      <c r="G187" s="6"/>
      <c r="H187" s="6" t="s">
        <v>922</v>
      </c>
      <c r="I187" s="6"/>
      <c r="J187" s="6" t="s">
        <v>133</v>
      </c>
      <c r="K187" s="6" t="s">
        <v>77</v>
      </c>
      <c r="L187" s="6"/>
      <c r="M187" s="6"/>
      <c r="N187" s="6"/>
      <c r="O187" s="6"/>
      <c r="P187" s="6"/>
      <c r="Q187" s="6"/>
      <c r="R187" s="6" t="s">
        <v>187</v>
      </c>
    </row>
    <row r="188" customFormat="false" ht="15" hidden="false" customHeight="false" outlineLevel="0" collapsed="false">
      <c r="A188" s="6" t="s">
        <v>923</v>
      </c>
      <c r="B188" s="6" t="s">
        <v>174</v>
      </c>
      <c r="C188" s="6" t="s">
        <v>59</v>
      </c>
      <c r="D188" s="6" t="s">
        <v>924</v>
      </c>
      <c r="E188" s="6" t="s">
        <v>925</v>
      </c>
      <c r="F188" s="6" t="n">
        <v>2025</v>
      </c>
      <c r="G188" s="6"/>
      <c r="H188" s="6" t="s">
        <v>926</v>
      </c>
      <c r="I188" s="6"/>
      <c r="J188" s="6" t="s">
        <v>133</v>
      </c>
      <c r="K188" s="6" t="s">
        <v>77</v>
      </c>
      <c r="L188" s="6"/>
      <c r="M188" s="6"/>
      <c r="N188" s="6"/>
      <c r="O188" s="6"/>
      <c r="P188" s="6"/>
      <c r="Q188" s="6"/>
      <c r="R188" s="6" t="s">
        <v>187</v>
      </c>
    </row>
    <row r="189" customFormat="false" ht="15" hidden="false" customHeight="false" outlineLevel="0" collapsed="false">
      <c r="A189" s="6" t="s">
        <v>927</v>
      </c>
      <c r="B189" s="6" t="s">
        <v>174</v>
      </c>
      <c r="C189" s="6" t="s">
        <v>59</v>
      </c>
      <c r="D189" s="6" t="s">
        <v>928</v>
      </c>
      <c r="E189" s="6" t="s">
        <v>929</v>
      </c>
      <c r="F189" s="6" t="n">
        <v>2014</v>
      </c>
      <c r="G189" s="6"/>
      <c r="H189" s="6"/>
      <c r="I189" s="6"/>
      <c r="J189" s="6" t="s">
        <v>133</v>
      </c>
      <c r="K189" s="6" t="s">
        <v>77</v>
      </c>
      <c r="L189" s="6"/>
      <c r="M189" s="6"/>
      <c r="N189" s="6"/>
      <c r="O189" s="6"/>
      <c r="P189" s="6"/>
      <c r="Q189" s="6"/>
      <c r="R189" s="6" t="s">
        <v>187</v>
      </c>
    </row>
    <row r="190" customFormat="false" ht="15" hidden="false" customHeight="false" outlineLevel="0" collapsed="false">
      <c r="A190" s="6" t="s">
        <v>930</v>
      </c>
      <c r="B190" s="6" t="s">
        <v>174</v>
      </c>
      <c r="C190" s="6" t="s">
        <v>59</v>
      </c>
      <c r="D190" s="6" t="s">
        <v>931</v>
      </c>
      <c r="E190" s="6" t="s">
        <v>932</v>
      </c>
      <c r="F190" s="6" t="n">
        <v>2021</v>
      </c>
      <c r="G190" s="6"/>
      <c r="H190" s="6"/>
      <c r="I190" s="6"/>
      <c r="J190" s="6" t="s">
        <v>133</v>
      </c>
      <c r="K190" s="6" t="s">
        <v>77</v>
      </c>
      <c r="L190" s="6"/>
      <c r="M190" s="6"/>
      <c r="N190" s="6"/>
      <c r="O190" s="6"/>
      <c r="P190" s="6"/>
      <c r="Q190" s="6"/>
      <c r="R190" s="6" t="s">
        <v>187</v>
      </c>
    </row>
    <row r="191" customFormat="false" ht="15" hidden="false" customHeight="false" outlineLevel="0" collapsed="false">
      <c r="A191" s="6" t="s">
        <v>933</v>
      </c>
      <c r="B191" s="6" t="s">
        <v>174</v>
      </c>
      <c r="C191" s="6" t="s">
        <v>59</v>
      </c>
      <c r="D191" s="6" t="s">
        <v>934</v>
      </c>
      <c r="E191" s="6" t="s">
        <v>935</v>
      </c>
      <c r="F191" s="6" t="n">
        <v>2024</v>
      </c>
      <c r="G191" s="6"/>
      <c r="H191" s="6" t="s">
        <v>936</v>
      </c>
      <c r="I191" s="6"/>
      <c r="J191" s="6" t="s">
        <v>133</v>
      </c>
      <c r="K191" s="6" t="s">
        <v>77</v>
      </c>
      <c r="L191" s="6"/>
      <c r="M191" s="6"/>
      <c r="N191" s="6"/>
      <c r="O191" s="6"/>
      <c r="P191" s="6"/>
      <c r="Q191" s="6"/>
      <c r="R191" s="6" t="s">
        <v>187</v>
      </c>
    </row>
    <row r="192" customFormat="false" ht="15" hidden="false" customHeight="false" outlineLevel="0" collapsed="false">
      <c r="A192" s="6" t="s">
        <v>937</v>
      </c>
      <c r="B192" s="6" t="s">
        <v>174</v>
      </c>
      <c r="C192" s="6" t="s">
        <v>59</v>
      </c>
      <c r="D192" s="6" t="s">
        <v>938</v>
      </c>
      <c r="E192" s="6" t="s">
        <v>939</v>
      </c>
      <c r="F192" s="6" t="n">
        <v>2026</v>
      </c>
      <c r="G192" s="6"/>
      <c r="H192" s="6" t="s">
        <v>940</v>
      </c>
      <c r="I192" s="6"/>
      <c r="J192" s="6" t="s">
        <v>133</v>
      </c>
      <c r="K192" s="6" t="s">
        <v>77</v>
      </c>
      <c r="L192" s="6"/>
      <c r="M192" s="6"/>
      <c r="N192" s="6"/>
      <c r="O192" s="6"/>
      <c r="P192" s="6"/>
      <c r="Q192" s="6"/>
      <c r="R192" s="6" t="s">
        <v>187</v>
      </c>
    </row>
    <row r="193" customFormat="false" ht="15" hidden="false" customHeight="false" outlineLevel="0" collapsed="false">
      <c r="A193" s="6" t="s">
        <v>941</v>
      </c>
      <c r="B193" s="6" t="s">
        <v>174</v>
      </c>
      <c r="C193" s="6" t="s">
        <v>59</v>
      </c>
      <c r="D193" s="6" t="s">
        <v>942</v>
      </c>
      <c r="E193" s="6" t="s">
        <v>943</v>
      </c>
      <c r="F193" s="6" t="n">
        <v>2014</v>
      </c>
      <c r="G193" s="6"/>
      <c r="H193" s="6" t="s">
        <v>944</v>
      </c>
      <c r="I193" s="6"/>
      <c r="J193" s="6" t="s">
        <v>133</v>
      </c>
      <c r="K193" s="6" t="s">
        <v>77</v>
      </c>
      <c r="L193" s="6"/>
      <c r="M193" s="6"/>
      <c r="N193" s="6"/>
      <c r="O193" s="6"/>
      <c r="P193" s="6"/>
      <c r="Q193" s="6"/>
      <c r="R193" s="6" t="s">
        <v>187</v>
      </c>
    </row>
    <row r="194" customFormat="false" ht="15" hidden="false" customHeight="false" outlineLevel="0" collapsed="false">
      <c r="A194" s="6" t="s">
        <v>945</v>
      </c>
      <c r="B194" s="6" t="s">
        <v>174</v>
      </c>
      <c r="C194" s="6" t="s">
        <v>59</v>
      </c>
      <c r="D194" s="6" t="s">
        <v>946</v>
      </c>
      <c r="E194" s="6" t="s">
        <v>947</v>
      </c>
      <c r="F194" s="6" t="n">
        <v>2024</v>
      </c>
      <c r="G194" s="6"/>
      <c r="H194" s="6" t="s">
        <v>948</v>
      </c>
      <c r="I194" s="6"/>
      <c r="J194" s="6" t="s">
        <v>133</v>
      </c>
      <c r="K194" s="6" t="s">
        <v>77</v>
      </c>
      <c r="L194" s="6"/>
      <c r="M194" s="6"/>
      <c r="N194" s="6"/>
      <c r="O194" s="6"/>
      <c r="P194" s="6"/>
      <c r="Q194" s="6"/>
      <c r="R194" s="6" t="s">
        <v>187</v>
      </c>
    </row>
    <row r="195" customFormat="false" ht="15" hidden="false" customHeight="false" outlineLevel="0" collapsed="false">
      <c r="A195" s="6" t="s">
        <v>949</v>
      </c>
      <c r="B195" s="6" t="s">
        <v>174</v>
      </c>
      <c r="C195" s="6" t="s">
        <v>59</v>
      </c>
      <c r="D195" s="6" t="s">
        <v>950</v>
      </c>
      <c r="E195" s="6" t="s">
        <v>951</v>
      </c>
      <c r="F195" s="6" t="n">
        <v>2025</v>
      </c>
      <c r="G195" s="6"/>
      <c r="H195" s="6" t="s">
        <v>952</v>
      </c>
      <c r="I195" s="6"/>
      <c r="J195" s="6" t="s">
        <v>133</v>
      </c>
      <c r="K195" s="6" t="s">
        <v>77</v>
      </c>
      <c r="L195" s="6"/>
      <c r="M195" s="6"/>
      <c r="N195" s="6"/>
      <c r="O195" s="6"/>
      <c r="P195" s="6"/>
      <c r="Q195" s="6"/>
      <c r="R195" s="6" t="s">
        <v>187</v>
      </c>
    </row>
    <row r="196" customFormat="false" ht="15" hidden="false" customHeight="false" outlineLevel="0" collapsed="false">
      <c r="A196" s="6" t="s">
        <v>953</v>
      </c>
      <c r="B196" s="6" t="s">
        <v>174</v>
      </c>
      <c r="C196" s="6" t="s">
        <v>59</v>
      </c>
      <c r="D196" s="6" t="s">
        <v>954</v>
      </c>
      <c r="E196" s="6" t="s">
        <v>955</v>
      </c>
      <c r="F196" s="6" t="n">
        <v>2012</v>
      </c>
      <c r="G196" s="6"/>
      <c r="H196" s="6" t="s">
        <v>956</v>
      </c>
      <c r="I196" s="6"/>
      <c r="J196" s="6" t="s">
        <v>133</v>
      </c>
      <c r="K196" s="6" t="s">
        <v>77</v>
      </c>
      <c r="L196" s="6"/>
      <c r="M196" s="6"/>
      <c r="N196" s="6"/>
      <c r="O196" s="6"/>
      <c r="P196" s="6"/>
      <c r="Q196" s="6"/>
      <c r="R196" s="6" t="s">
        <v>187</v>
      </c>
    </row>
    <row r="197" customFormat="false" ht="15" hidden="false" customHeight="false" outlineLevel="0" collapsed="false">
      <c r="A197" s="6" t="s">
        <v>957</v>
      </c>
      <c r="B197" s="6" t="s">
        <v>174</v>
      </c>
      <c r="C197" s="6" t="s">
        <v>59</v>
      </c>
      <c r="D197" s="6" t="s">
        <v>958</v>
      </c>
      <c r="E197" s="6" t="s">
        <v>959</v>
      </c>
      <c r="F197" s="6" t="n">
        <v>2023</v>
      </c>
      <c r="G197" s="6"/>
      <c r="H197" s="6" t="s">
        <v>960</v>
      </c>
      <c r="I197" s="6"/>
      <c r="J197" s="6" t="s">
        <v>133</v>
      </c>
      <c r="K197" s="6" t="s">
        <v>77</v>
      </c>
      <c r="L197" s="6"/>
      <c r="M197" s="6"/>
      <c r="N197" s="6"/>
      <c r="O197" s="6"/>
      <c r="P197" s="6"/>
      <c r="Q197" s="6"/>
      <c r="R197" s="6" t="s">
        <v>187</v>
      </c>
    </row>
    <row r="198" customFormat="false" ht="15" hidden="false" customHeight="false" outlineLevel="0" collapsed="false">
      <c r="A198" s="6" t="s">
        <v>961</v>
      </c>
      <c r="B198" s="6" t="s">
        <v>174</v>
      </c>
      <c r="C198" s="6" t="s">
        <v>59</v>
      </c>
      <c r="D198" s="6" t="s">
        <v>962</v>
      </c>
      <c r="E198" s="6" t="s">
        <v>963</v>
      </c>
      <c r="F198" s="6" t="n">
        <v>2025</v>
      </c>
      <c r="G198" s="6"/>
      <c r="H198" s="6" t="s">
        <v>964</v>
      </c>
      <c r="I198" s="6"/>
      <c r="J198" s="6" t="s">
        <v>133</v>
      </c>
      <c r="K198" s="6" t="s">
        <v>77</v>
      </c>
      <c r="L198" s="6"/>
      <c r="M198" s="6"/>
      <c r="N198" s="6"/>
      <c r="O198" s="6"/>
      <c r="P198" s="6"/>
      <c r="Q198" s="6"/>
      <c r="R198" s="6" t="s">
        <v>187</v>
      </c>
    </row>
    <row r="199" customFormat="false" ht="15" hidden="false" customHeight="false" outlineLevel="0" collapsed="false">
      <c r="A199" s="6" t="s">
        <v>965</v>
      </c>
      <c r="B199" s="6" t="s">
        <v>174</v>
      </c>
      <c r="C199" s="6" t="s">
        <v>59</v>
      </c>
      <c r="D199" s="6" t="s">
        <v>966</v>
      </c>
      <c r="E199" s="6" t="s">
        <v>967</v>
      </c>
      <c r="F199" s="6" t="n">
        <v>2019</v>
      </c>
      <c r="G199" s="6"/>
      <c r="H199" s="6"/>
      <c r="I199" s="6"/>
      <c r="J199" s="6" t="s">
        <v>133</v>
      </c>
      <c r="K199" s="6" t="s">
        <v>77</v>
      </c>
      <c r="L199" s="6"/>
      <c r="M199" s="6"/>
      <c r="N199" s="6"/>
      <c r="O199" s="6"/>
      <c r="P199" s="6"/>
      <c r="Q199" s="6"/>
      <c r="R199" s="6" t="s">
        <v>187</v>
      </c>
    </row>
    <row r="200" customFormat="false" ht="15" hidden="false" customHeight="false" outlineLevel="0" collapsed="false">
      <c r="A200" s="6" t="s">
        <v>968</v>
      </c>
      <c r="B200" s="6" t="s">
        <v>174</v>
      </c>
      <c r="C200" s="6" t="s">
        <v>59</v>
      </c>
      <c r="D200" s="6" t="s">
        <v>969</v>
      </c>
      <c r="E200" s="6" t="s">
        <v>970</v>
      </c>
      <c r="F200" s="6" t="n">
        <v>2020</v>
      </c>
      <c r="G200" s="6"/>
      <c r="H200" s="6" t="s">
        <v>971</v>
      </c>
      <c r="I200" s="6"/>
      <c r="J200" s="6" t="s">
        <v>133</v>
      </c>
      <c r="K200" s="6" t="s">
        <v>77</v>
      </c>
      <c r="L200" s="6"/>
      <c r="M200" s="6"/>
      <c r="N200" s="6"/>
      <c r="O200" s="6"/>
      <c r="P200" s="6"/>
      <c r="Q200" s="6"/>
      <c r="R200" s="6" t="s">
        <v>187</v>
      </c>
    </row>
    <row r="201" customFormat="false" ht="15" hidden="false" customHeight="false" outlineLevel="0" collapsed="false">
      <c r="A201" s="6" t="s">
        <v>972</v>
      </c>
      <c r="B201" s="6" t="s">
        <v>174</v>
      </c>
      <c r="C201" s="6" t="s">
        <v>59</v>
      </c>
      <c r="D201" s="6" t="s">
        <v>973</v>
      </c>
      <c r="E201" s="6" t="s">
        <v>974</v>
      </c>
      <c r="F201" s="6" t="n">
        <v>2015</v>
      </c>
      <c r="G201" s="6"/>
      <c r="H201" s="6"/>
      <c r="I201" s="6"/>
      <c r="J201" s="6" t="s">
        <v>133</v>
      </c>
      <c r="K201" s="6" t="s">
        <v>81</v>
      </c>
      <c r="L201" s="6"/>
      <c r="M201" s="6"/>
      <c r="N201" s="6"/>
      <c r="O201" s="6"/>
      <c r="P201" s="6"/>
      <c r="Q201" s="6"/>
      <c r="R201" s="6" t="s">
        <v>975</v>
      </c>
    </row>
    <row r="202" customFormat="false" ht="15" hidden="false" customHeight="false" outlineLevel="0" collapsed="false">
      <c r="A202" s="6" t="s">
        <v>976</v>
      </c>
      <c r="B202" s="6" t="s">
        <v>174</v>
      </c>
      <c r="C202" s="6" t="s">
        <v>59</v>
      </c>
      <c r="D202" s="6" t="s">
        <v>977</v>
      </c>
      <c r="E202" s="6" t="s">
        <v>978</v>
      </c>
      <c r="F202" s="6" t="n">
        <v>2014</v>
      </c>
      <c r="G202" s="6"/>
      <c r="H202" s="6" t="s">
        <v>979</v>
      </c>
      <c r="I202" s="6"/>
      <c r="J202" s="6" t="s">
        <v>133</v>
      </c>
      <c r="K202" s="6" t="s">
        <v>77</v>
      </c>
      <c r="L202" s="6"/>
      <c r="M202" s="6"/>
      <c r="N202" s="6"/>
      <c r="O202" s="6"/>
      <c r="P202" s="6"/>
      <c r="Q202" s="6"/>
      <c r="R202" s="6" t="s">
        <v>187</v>
      </c>
    </row>
    <row r="203" customFormat="false" ht="15" hidden="false" customHeight="false" outlineLevel="0" collapsed="false">
      <c r="A203" s="6" t="s">
        <v>980</v>
      </c>
      <c r="B203" s="6" t="s">
        <v>174</v>
      </c>
      <c r="C203" s="6" t="s">
        <v>59</v>
      </c>
      <c r="D203" s="6" t="s">
        <v>981</v>
      </c>
      <c r="E203" s="6" t="s">
        <v>982</v>
      </c>
      <c r="F203" s="6" t="n">
        <v>2017</v>
      </c>
      <c r="G203" s="6"/>
      <c r="H203" s="6" t="s">
        <v>983</v>
      </c>
      <c r="I203" s="6"/>
      <c r="J203" s="6" t="s">
        <v>133</v>
      </c>
      <c r="K203" s="6" t="s">
        <v>77</v>
      </c>
      <c r="L203" s="6"/>
      <c r="M203" s="6"/>
      <c r="N203" s="6"/>
      <c r="O203" s="6"/>
      <c r="P203" s="6"/>
      <c r="Q203" s="6"/>
      <c r="R203" s="6" t="s">
        <v>187</v>
      </c>
    </row>
    <row r="204" customFormat="false" ht="15" hidden="false" customHeight="false" outlineLevel="0" collapsed="false">
      <c r="A204" s="6" t="s">
        <v>984</v>
      </c>
      <c r="B204" s="6" t="s">
        <v>174</v>
      </c>
      <c r="C204" s="6" t="s">
        <v>59</v>
      </c>
      <c r="D204" s="6" t="s">
        <v>985</v>
      </c>
      <c r="E204" s="6" t="s">
        <v>986</v>
      </c>
      <c r="F204" s="6" t="n">
        <v>2025</v>
      </c>
      <c r="G204" s="6"/>
      <c r="H204" s="6" t="s">
        <v>987</v>
      </c>
      <c r="I204" s="6"/>
      <c r="J204" s="6" t="s">
        <v>133</v>
      </c>
      <c r="K204" s="6" t="s">
        <v>77</v>
      </c>
      <c r="L204" s="6"/>
      <c r="M204" s="6"/>
      <c r="N204" s="6"/>
      <c r="O204" s="6"/>
      <c r="P204" s="6"/>
      <c r="Q204" s="6"/>
      <c r="R204" s="6" t="s">
        <v>187</v>
      </c>
    </row>
    <row r="205" customFormat="false" ht="15" hidden="false" customHeight="false" outlineLevel="0" collapsed="false">
      <c r="A205" s="6" t="s">
        <v>988</v>
      </c>
      <c r="B205" s="6" t="s">
        <v>174</v>
      </c>
      <c r="C205" s="6" t="s">
        <v>59</v>
      </c>
      <c r="D205" s="6" t="s">
        <v>989</v>
      </c>
      <c r="E205" s="6" t="s">
        <v>990</v>
      </c>
      <c r="F205" s="6" t="n">
        <v>2017</v>
      </c>
      <c r="G205" s="6"/>
      <c r="H205" s="6" t="s">
        <v>991</v>
      </c>
      <c r="I205" s="6"/>
      <c r="J205" s="6" t="s">
        <v>152</v>
      </c>
      <c r="K205" s="6"/>
      <c r="L205" s="6" t="s">
        <v>133</v>
      </c>
      <c r="M205" s="6" t="s">
        <v>77</v>
      </c>
      <c r="N205" s="6" t="s">
        <v>992</v>
      </c>
      <c r="O205" s="6" t="s">
        <v>115</v>
      </c>
      <c r="P205" s="6" t="s">
        <v>115</v>
      </c>
      <c r="Q205" s="6" t="s">
        <v>137</v>
      </c>
      <c r="R205" s="6" t="s">
        <v>993</v>
      </c>
      <c r="S205" s="6" t="s">
        <v>182</v>
      </c>
    </row>
    <row r="206" customFormat="false" ht="15" hidden="false" customHeight="false" outlineLevel="0" collapsed="false">
      <c r="A206" s="6" t="s">
        <v>994</v>
      </c>
      <c r="B206" s="6" t="s">
        <v>174</v>
      </c>
      <c r="C206" s="6" t="s">
        <v>59</v>
      </c>
      <c r="D206" s="6" t="s">
        <v>995</v>
      </c>
      <c r="E206" s="6" t="s">
        <v>996</v>
      </c>
      <c r="F206" s="6" t="n">
        <v>2014</v>
      </c>
      <c r="G206" s="6"/>
      <c r="H206" s="6"/>
      <c r="I206" s="6"/>
      <c r="J206" s="6" t="s">
        <v>133</v>
      </c>
      <c r="K206" s="6" t="s">
        <v>77</v>
      </c>
      <c r="L206" s="6"/>
      <c r="M206" s="6"/>
      <c r="N206" s="6"/>
      <c r="O206" s="6"/>
      <c r="P206" s="6"/>
      <c r="Q206" s="6"/>
      <c r="R206" s="6" t="s">
        <v>187</v>
      </c>
    </row>
    <row r="207" customFormat="false" ht="15" hidden="false" customHeight="false" outlineLevel="0" collapsed="false">
      <c r="A207" s="6" t="s">
        <v>997</v>
      </c>
      <c r="B207" s="6" t="s">
        <v>174</v>
      </c>
      <c r="C207" s="6" t="s">
        <v>59</v>
      </c>
      <c r="D207" s="6" t="s">
        <v>998</v>
      </c>
      <c r="E207" s="6" t="s">
        <v>999</v>
      </c>
      <c r="F207" s="6" t="n">
        <v>2021</v>
      </c>
      <c r="G207" s="6"/>
      <c r="H207" s="6"/>
      <c r="I207" s="6"/>
      <c r="J207" s="6" t="s">
        <v>133</v>
      </c>
      <c r="K207" s="6" t="s">
        <v>77</v>
      </c>
      <c r="L207" s="6"/>
      <c r="M207" s="6"/>
      <c r="N207" s="6"/>
      <c r="O207" s="6"/>
      <c r="P207" s="6"/>
      <c r="Q207" s="6"/>
      <c r="R207" s="6" t="s">
        <v>187</v>
      </c>
    </row>
    <row r="208" customFormat="false" ht="15" hidden="false" customHeight="false" outlineLevel="0" collapsed="false">
      <c r="A208" s="6" t="s">
        <v>1000</v>
      </c>
      <c r="B208" s="6" t="s">
        <v>174</v>
      </c>
      <c r="C208" s="6" t="s">
        <v>59</v>
      </c>
      <c r="D208" s="6" t="s">
        <v>1001</v>
      </c>
      <c r="E208" s="6" t="s">
        <v>1002</v>
      </c>
      <c r="F208" s="6" t="n">
        <v>2025</v>
      </c>
      <c r="G208" s="6"/>
      <c r="H208" s="6" t="s">
        <v>1003</v>
      </c>
      <c r="I208" s="6"/>
      <c r="J208" s="6" t="s">
        <v>133</v>
      </c>
      <c r="K208" s="6" t="s">
        <v>77</v>
      </c>
      <c r="L208" s="6"/>
      <c r="M208" s="6"/>
      <c r="N208" s="6"/>
      <c r="O208" s="6"/>
      <c r="P208" s="6"/>
      <c r="Q208" s="6"/>
      <c r="R208" s="6" t="s">
        <v>187</v>
      </c>
    </row>
    <row r="209" customFormat="false" ht="15" hidden="false" customHeight="false" outlineLevel="0" collapsed="false">
      <c r="A209" s="6" t="s">
        <v>1004</v>
      </c>
      <c r="B209" s="6" t="s">
        <v>174</v>
      </c>
      <c r="C209" s="6" t="s">
        <v>59</v>
      </c>
      <c r="D209" s="6" t="s">
        <v>1005</v>
      </c>
      <c r="E209" s="6" t="s">
        <v>1006</v>
      </c>
      <c r="F209" s="6" t="n">
        <v>2025</v>
      </c>
      <c r="G209" s="6"/>
      <c r="H209" s="6" t="s">
        <v>1007</v>
      </c>
      <c r="I209" s="6"/>
      <c r="J209" s="6" t="s">
        <v>133</v>
      </c>
      <c r="K209" s="6" t="s">
        <v>77</v>
      </c>
      <c r="L209" s="6"/>
      <c r="M209" s="6"/>
      <c r="N209" s="6"/>
      <c r="O209" s="6"/>
      <c r="P209" s="6"/>
      <c r="Q209" s="6"/>
      <c r="R209" s="6" t="s">
        <v>187</v>
      </c>
    </row>
    <row r="210" customFormat="false" ht="15" hidden="false" customHeight="false" outlineLevel="0" collapsed="false">
      <c r="A210" s="6" t="s">
        <v>1008</v>
      </c>
      <c r="B210" s="6" t="s">
        <v>174</v>
      </c>
      <c r="C210" s="6" t="s">
        <v>59</v>
      </c>
      <c r="D210" s="6" t="s">
        <v>1009</v>
      </c>
      <c r="E210" s="6" t="s">
        <v>1010</v>
      </c>
      <c r="F210" s="6" t="n">
        <v>2025</v>
      </c>
      <c r="G210" s="6"/>
      <c r="H210" s="6" t="s">
        <v>1011</v>
      </c>
      <c r="I210" s="6"/>
      <c r="J210" s="6" t="s">
        <v>133</v>
      </c>
      <c r="K210" s="6" t="s">
        <v>77</v>
      </c>
      <c r="L210" s="6"/>
      <c r="M210" s="6"/>
      <c r="N210" s="6"/>
      <c r="O210" s="6"/>
      <c r="P210" s="6"/>
      <c r="Q210" s="6"/>
      <c r="R210" s="6" t="s">
        <v>187</v>
      </c>
    </row>
    <row r="211" customFormat="false" ht="15" hidden="false" customHeight="false" outlineLevel="0" collapsed="false">
      <c r="A211" s="6" t="s">
        <v>1012</v>
      </c>
      <c r="B211" s="6" t="s">
        <v>174</v>
      </c>
      <c r="C211" s="6" t="s">
        <v>59</v>
      </c>
      <c r="D211" s="6" t="s">
        <v>1013</v>
      </c>
      <c r="E211" s="6" t="s">
        <v>1014</v>
      </c>
      <c r="F211" s="6" t="n">
        <v>2020</v>
      </c>
      <c r="G211" s="6"/>
      <c r="H211" s="6" t="s">
        <v>1015</v>
      </c>
      <c r="I211" s="6"/>
      <c r="J211" s="6" t="s">
        <v>133</v>
      </c>
      <c r="K211" s="6" t="s">
        <v>77</v>
      </c>
      <c r="L211" s="6"/>
      <c r="M211" s="6"/>
      <c r="N211" s="6"/>
      <c r="O211" s="6"/>
      <c r="P211" s="6"/>
      <c r="Q211" s="6"/>
      <c r="R211" s="6" t="s">
        <v>187</v>
      </c>
    </row>
    <row r="212" customFormat="false" ht="15" hidden="false" customHeight="false" outlineLevel="0" collapsed="false">
      <c r="A212" s="6" t="s">
        <v>1016</v>
      </c>
      <c r="B212" s="6" t="s">
        <v>174</v>
      </c>
      <c r="C212" s="6" t="s">
        <v>59</v>
      </c>
      <c r="D212" s="6" t="s">
        <v>1017</v>
      </c>
      <c r="E212" s="6" t="s">
        <v>1018</v>
      </c>
      <c r="F212" s="6" t="n">
        <v>2012</v>
      </c>
      <c r="G212" s="6"/>
      <c r="H212" s="6"/>
      <c r="I212" s="6"/>
      <c r="J212" s="6" t="s">
        <v>133</v>
      </c>
      <c r="K212" s="6" t="s">
        <v>77</v>
      </c>
      <c r="L212" s="6"/>
      <c r="M212" s="6"/>
      <c r="N212" s="6"/>
      <c r="O212" s="6"/>
      <c r="P212" s="6"/>
      <c r="Q212" s="6"/>
      <c r="R212" s="6" t="s">
        <v>187</v>
      </c>
    </row>
    <row r="213" customFormat="false" ht="15" hidden="false" customHeight="false" outlineLevel="0" collapsed="false">
      <c r="A213" s="6" t="s">
        <v>1019</v>
      </c>
      <c r="B213" s="6" t="s">
        <v>174</v>
      </c>
      <c r="C213" s="6" t="s">
        <v>59</v>
      </c>
      <c r="D213" s="6" t="s">
        <v>1020</v>
      </c>
      <c r="E213" s="6" t="s">
        <v>1021</v>
      </c>
      <c r="F213" s="6" t="n">
        <v>2025</v>
      </c>
      <c r="G213" s="6"/>
      <c r="H213" s="6" t="s">
        <v>1022</v>
      </c>
      <c r="I213" s="6"/>
      <c r="J213" s="6" t="s">
        <v>152</v>
      </c>
      <c r="K213" s="6"/>
      <c r="L213" s="6" t="s">
        <v>120</v>
      </c>
      <c r="M213" s="6"/>
      <c r="N213" s="6" t="s">
        <v>1023</v>
      </c>
      <c r="O213" s="6" t="s">
        <v>261</v>
      </c>
      <c r="P213" s="6" t="s">
        <v>1024</v>
      </c>
      <c r="Q213" s="6" t="s">
        <v>137</v>
      </c>
      <c r="R213" s="6" t="s">
        <v>1025</v>
      </c>
      <c r="S213" s="6" t="s">
        <v>126</v>
      </c>
    </row>
    <row r="214" customFormat="false" ht="15" hidden="false" customHeight="false" outlineLevel="0" collapsed="false">
      <c r="A214" s="6" t="s">
        <v>1026</v>
      </c>
      <c r="B214" s="6" t="s">
        <v>174</v>
      </c>
      <c r="C214" s="6" t="s">
        <v>59</v>
      </c>
      <c r="D214" s="6" t="s">
        <v>1027</v>
      </c>
      <c r="E214" s="6" t="s">
        <v>1028</v>
      </c>
      <c r="F214" s="6" t="n">
        <v>2012</v>
      </c>
      <c r="G214" s="6"/>
      <c r="H214" s="6"/>
      <c r="I214" s="6"/>
      <c r="J214" s="6" t="s">
        <v>133</v>
      </c>
      <c r="K214" s="6" t="s">
        <v>77</v>
      </c>
      <c r="L214" s="6"/>
      <c r="M214" s="6"/>
      <c r="N214" s="6"/>
      <c r="O214" s="6"/>
      <c r="P214" s="6"/>
      <c r="Q214" s="6"/>
      <c r="R214" s="6" t="s">
        <v>187</v>
      </c>
    </row>
    <row r="215" customFormat="false" ht="15" hidden="false" customHeight="false" outlineLevel="0" collapsed="false">
      <c r="A215" s="6" t="s">
        <v>1029</v>
      </c>
      <c r="B215" s="6" t="s">
        <v>174</v>
      </c>
      <c r="C215" s="6" t="s">
        <v>59</v>
      </c>
      <c r="D215" s="6" t="s">
        <v>1030</v>
      </c>
      <c r="E215" s="6" t="s">
        <v>1031</v>
      </c>
      <c r="F215" s="6" t="n">
        <v>2013</v>
      </c>
      <c r="G215" s="6"/>
      <c r="H215" s="6" t="s">
        <v>1032</v>
      </c>
      <c r="I215" s="6"/>
      <c r="J215" s="6" t="s">
        <v>133</v>
      </c>
      <c r="K215" s="6" t="s">
        <v>77</v>
      </c>
      <c r="L215" s="6"/>
      <c r="M215" s="6"/>
      <c r="N215" s="6"/>
      <c r="O215" s="6"/>
      <c r="P215" s="6"/>
      <c r="Q215" s="6"/>
      <c r="R215" s="6" t="s">
        <v>187</v>
      </c>
    </row>
    <row r="216" customFormat="false" ht="15" hidden="false" customHeight="false" outlineLevel="0" collapsed="false">
      <c r="A216" s="6" t="s">
        <v>1033</v>
      </c>
      <c r="B216" s="6" t="s">
        <v>174</v>
      </c>
      <c r="C216" s="6" t="s">
        <v>59</v>
      </c>
      <c r="D216" s="6" t="s">
        <v>1034</v>
      </c>
      <c r="E216" s="6" t="s">
        <v>1035</v>
      </c>
      <c r="F216" s="6" t="n">
        <v>2026</v>
      </c>
      <c r="G216" s="6"/>
      <c r="H216" s="6" t="s">
        <v>1036</v>
      </c>
      <c r="I216" s="6"/>
      <c r="J216" s="6" t="s">
        <v>133</v>
      </c>
      <c r="K216" s="6" t="s">
        <v>77</v>
      </c>
      <c r="L216" s="6"/>
      <c r="M216" s="6"/>
      <c r="N216" s="6"/>
      <c r="O216" s="6"/>
      <c r="P216" s="6"/>
      <c r="Q216" s="6"/>
      <c r="R216" s="6" t="s">
        <v>187</v>
      </c>
    </row>
    <row r="217" customFormat="false" ht="15" hidden="false" customHeight="false" outlineLevel="0" collapsed="false">
      <c r="A217" s="6" t="s">
        <v>1037</v>
      </c>
      <c r="B217" s="6" t="s">
        <v>174</v>
      </c>
      <c r="C217" s="6" t="s">
        <v>59</v>
      </c>
      <c r="D217" s="6" t="s">
        <v>1038</v>
      </c>
      <c r="E217" s="6" t="s">
        <v>1039</v>
      </c>
      <c r="F217" s="6" t="n">
        <v>2025</v>
      </c>
      <c r="G217" s="6"/>
      <c r="H217" s="6" t="s">
        <v>1040</v>
      </c>
      <c r="I217" s="6"/>
      <c r="J217" s="6" t="s">
        <v>133</v>
      </c>
      <c r="K217" s="6" t="s">
        <v>77</v>
      </c>
      <c r="L217" s="6"/>
      <c r="M217" s="6"/>
      <c r="N217" s="6"/>
      <c r="O217" s="6"/>
      <c r="P217" s="6"/>
      <c r="Q217" s="6"/>
      <c r="R217" s="6" t="s">
        <v>187</v>
      </c>
    </row>
    <row r="218" customFormat="false" ht="15" hidden="false" customHeight="false" outlineLevel="0" collapsed="false">
      <c r="A218" s="6" t="s">
        <v>1041</v>
      </c>
      <c r="B218" s="6" t="s">
        <v>174</v>
      </c>
      <c r="C218" s="6" t="s">
        <v>59</v>
      </c>
      <c r="D218" s="6" t="s">
        <v>1042</v>
      </c>
      <c r="E218" s="6" t="s">
        <v>1043</v>
      </c>
      <c r="F218" s="6" t="n">
        <v>2026</v>
      </c>
      <c r="G218" s="6"/>
      <c r="H218" s="6" t="s">
        <v>1044</v>
      </c>
      <c r="I218" s="6"/>
      <c r="J218" s="6" t="s">
        <v>133</v>
      </c>
      <c r="K218" s="6" t="s">
        <v>77</v>
      </c>
      <c r="L218" s="6"/>
      <c r="M218" s="6"/>
      <c r="N218" s="6"/>
      <c r="O218" s="6"/>
      <c r="P218" s="6"/>
      <c r="Q218" s="6"/>
      <c r="R218" s="6" t="s">
        <v>187</v>
      </c>
    </row>
    <row r="219" customFormat="false" ht="15" hidden="false" customHeight="false" outlineLevel="0" collapsed="false">
      <c r="A219" s="6" t="s">
        <v>1045</v>
      </c>
      <c r="B219" s="6" t="s">
        <v>174</v>
      </c>
      <c r="C219" s="6" t="s">
        <v>59</v>
      </c>
      <c r="D219" s="6" t="s">
        <v>1046</v>
      </c>
      <c r="E219" s="6" t="s">
        <v>1047</v>
      </c>
      <c r="F219" s="6" t="n">
        <v>2026</v>
      </c>
      <c r="G219" s="6"/>
      <c r="H219" s="6"/>
      <c r="I219" s="6"/>
      <c r="J219" s="6" t="s">
        <v>133</v>
      </c>
      <c r="K219" s="6" t="s">
        <v>77</v>
      </c>
      <c r="L219" s="6"/>
      <c r="M219" s="6"/>
      <c r="N219" s="6"/>
      <c r="O219" s="6"/>
      <c r="P219" s="6"/>
      <c r="Q219" s="6"/>
      <c r="R219" s="6" t="s">
        <v>187</v>
      </c>
    </row>
    <row r="220" customFormat="false" ht="15" hidden="false" customHeight="false" outlineLevel="0" collapsed="false">
      <c r="A220" s="6" t="s">
        <v>1048</v>
      </c>
      <c r="B220" s="6" t="s">
        <v>174</v>
      </c>
      <c r="C220" s="6" t="s">
        <v>59</v>
      </c>
      <c r="D220" s="6" t="s">
        <v>1049</v>
      </c>
      <c r="E220" s="6" t="s">
        <v>1050</v>
      </c>
      <c r="F220" s="6" t="n">
        <v>2026</v>
      </c>
      <c r="G220" s="6"/>
      <c r="H220" s="6" t="s">
        <v>1051</v>
      </c>
      <c r="I220" s="6"/>
      <c r="J220" s="6" t="s">
        <v>133</v>
      </c>
      <c r="K220" s="6" t="s">
        <v>77</v>
      </c>
      <c r="L220" s="6"/>
      <c r="M220" s="6"/>
      <c r="N220" s="6"/>
      <c r="O220" s="6"/>
      <c r="P220" s="6"/>
      <c r="Q220" s="6"/>
      <c r="R220" s="6" t="s">
        <v>187</v>
      </c>
    </row>
    <row r="221" customFormat="false" ht="15" hidden="false" customHeight="false" outlineLevel="0" collapsed="false">
      <c r="A221" s="6" t="s">
        <v>1052</v>
      </c>
      <c r="B221" s="6" t="s">
        <v>174</v>
      </c>
      <c r="C221" s="6" t="s">
        <v>59</v>
      </c>
      <c r="D221" s="6" t="s">
        <v>1053</v>
      </c>
      <c r="E221" s="6" t="s">
        <v>1054</v>
      </c>
      <c r="F221" s="6" t="n">
        <v>2026</v>
      </c>
      <c r="G221" s="6"/>
      <c r="H221" s="6" t="s">
        <v>1055</v>
      </c>
      <c r="I221" s="6"/>
      <c r="J221" s="6" t="s">
        <v>133</v>
      </c>
      <c r="K221" s="6" t="s">
        <v>77</v>
      </c>
      <c r="L221" s="6"/>
      <c r="M221" s="6"/>
      <c r="N221" s="6"/>
      <c r="O221" s="6"/>
      <c r="P221" s="6"/>
      <c r="Q221" s="6"/>
      <c r="R221" s="6" t="s">
        <v>187</v>
      </c>
    </row>
    <row r="222" customFormat="false" ht="15" hidden="false" customHeight="false" outlineLevel="0" collapsed="false">
      <c r="A222" s="6" t="s">
        <v>1056</v>
      </c>
      <c r="B222" s="6" t="s">
        <v>174</v>
      </c>
      <c r="C222" s="6" t="s">
        <v>59</v>
      </c>
      <c r="D222" s="6" t="s">
        <v>1057</v>
      </c>
      <c r="E222" s="6" t="s">
        <v>1058</v>
      </c>
      <c r="F222" s="6" t="n">
        <v>2026</v>
      </c>
      <c r="G222" s="6"/>
      <c r="H222" s="6" t="s">
        <v>1059</v>
      </c>
      <c r="I222" s="6"/>
      <c r="J222" s="6" t="s">
        <v>133</v>
      </c>
      <c r="K222" s="6" t="s">
        <v>77</v>
      </c>
      <c r="L222" s="6"/>
      <c r="M222" s="6"/>
      <c r="N222" s="6"/>
      <c r="O222" s="6"/>
      <c r="P222" s="6"/>
      <c r="Q222" s="6"/>
      <c r="R222" s="6" t="s">
        <v>187</v>
      </c>
    </row>
    <row r="223" customFormat="false" ht="15" hidden="false" customHeight="false" outlineLevel="0" collapsed="false">
      <c r="A223" s="6" t="s">
        <v>1060</v>
      </c>
      <c r="B223" s="6" t="s">
        <v>174</v>
      </c>
      <c r="C223" s="6" t="s">
        <v>59</v>
      </c>
      <c r="D223" s="6" t="s">
        <v>1061</v>
      </c>
      <c r="E223" s="6" t="s">
        <v>1062</v>
      </c>
      <c r="F223" s="6" t="n">
        <v>2020</v>
      </c>
      <c r="G223" s="6"/>
      <c r="H223" s="6" t="s">
        <v>1063</v>
      </c>
      <c r="I223" s="6"/>
      <c r="J223" s="6" t="s">
        <v>133</v>
      </c>
      <c r="K223" s="6" t="s">
        <v>77</v>
      </c>
      <c r="L223" s="6"/>
      <c r="M223" s="6"/>
      <c r="N223" s="6"/>
      <c r="O223" s="6"/>
      <c r="P223" s="6"/>
      <c r="Q223" s="6"/>
      <c r="R223" s="6" t="s">
        <v>187</v>
      </c>
    </row>
    <row r="224" customFormat="false" ht="15" hidden="false" customHeight="false" outlineLevel="0" collapsed="false">
      <c r="A224" s="6" t="s">
        <v>1064</v>
      </c>
      <c r="B224" s="6" t="s">
        <v>174</v>
      </c>
      <c r="C224" s="6" t="s">
        <v>59</v>
      </c>
      <c r="D224" s="6" t="s">
        <v>1065</v>
      </c>
      <c r="E224" s="6" t="s">
        <v>1066</v>
      </c>
      <c r="F224" s="6" t="n">
        <v>2026</v>
      </c>
      <c r="G224" s="6"/>
      <c r="H224" s="6" t="s">
        <v>1067</v>
      </c>
      <c r="I224" s="6"/>
      <c r="J224" s="6" t="s">
        <v>133</v>
      </c>
      <c r="K224" s="6" t="s">
        <v>77</v>
      </c>
      <c r="L224" s="6"/>
      <c r="M224" s="6"/>
      <c r="N224" s="6"/>
      <c r="O224" s="6"/>
      <c r="P224" s="6"/>
      <c r="Q224" s="6"/>
      <c r="R224" s="6" t="s">
        <v>187</v>
      </c>
    </row>
    <row r="225" customFormat="false" ht="15" hidden="false" customHeight="false" outlineLevel="0" collapsed="false">
      <c r="A225" s="6" t="s">
        <v>1068</v>
      </c>
      <c r="B225" s="6" t="s">
        <v>174</v>
      </c>
      <c r="C225" s="6" t="s">
        <v>59</v>
      </c>
      <c r="D225" s="6" t="s">
        <v>1069</v>
      </c>
      <c r="E225" s="6" t="s">
        <v>1070</v>
      </c>
      <c r="F225" s="6" t="n">
        <v>2023</v>
      </c>
      <c r="G225" s="6"/>
      <c r="H225" s="6" t="s">
        <v>1071</v>
      </c>
      <c r="I225" s="6"/>
      <c r="J225" s="6" t="s">
        <v>133</v>
      </c>
      <c r="K225" s="6" t="s">
        <v>77</v>
      </c>
      <c r="L225" s="6"/>
      <c r="M225" s="6"/>
      <c r="N225" s="6"/>
      <c r="O225" s="6"/>
      <c r="P225" s="6"/>
      <c r="Q225" s="6"/>
      <c r="R225" s="6" t="s">
        <v>187</v>
      </c>
    </row>
    <row r="226" customFormat="false" ht="15" hidden="false" customHeight="false" outlineLevel="0" collapsed="false">
      <c r="A226" s="6" t="s">
        <v>1072</v>
      </c>
      <c r="B226" s="6" t="s">
        <v>174</v>
      </c>
      <c r="C226" s="6" t="s">
        <v>59</v>
      </c>
      <c r="D226" s="6" t="s">
        <v>1073</v>
      </c>
      <c r="E226" s="6" t="s">
        <v>1074</v>
      </c>
      <c r="F226" s="6" t="n">
        <v>2025</v>
      </c>
      <c r="G226" s="6"/>
      <c r="H226" s="6" t="s">
        <v>1075</v>
      </c>
      <c r="I226" s="6"/>
      <c r="J226" s="6" t="s">
        <v>133</v>
      </c>
      <c r="K226" s="6" t="s">
        <v>77</v>
      </c>
      <c r="L226" s="6"/>
      <c r="M226" s="6"/>
      <c r="N226" s="6"/>
      <c r="O226" s="6"/>
      <c r="P226" s="6"/>
      <c r="Q226" s="6"/>
      <c r="R226" s="6" t="s">
        <v>187</v>
      </c>
    </row>
    <row r="227" customFormat="false" ht="15" hidden="false" customHeight="false" outlineLevel="0" collapsed="false">
      <c r="A227" s="6" t="s">
        <v>1076</v>
      </c>
      <c r="B227" s="6" t="s">
        <v>174</v>
      </c>
      <c r="C227" s="6" t="s">
        <v>59</v>
      </c>
      <c r="D227" s="6" t="s">
        <v>1077</v>
      </c>
      <c r="E227" s="6" t="s">
        <v>1078</v>
      </c>
      <c r="F227" s="6" t="n">
        <v>2026</v>
      </c>
      <c r="G227" s="6"/>
      <c r="H227" s="6" t="s">
        <v>1079</v>
      </c>
      <c r="I227" s="6"/>
      <c r="J227" s="6" t="s">
        <v>133</v>
      </c>
      <c r="K227" s="6" t="s">
        <v>77</v>
      </c>
      <c r="L227" s="6"/>
      <c r="M227" s="6"/>
      <c r="N227" s="6"/>
      <c r="O227" s="6"/>
      <c r="P227" s="6"/>
      <c r="Q227" s="6"/>
      <c r="R227" s="6" t="s">
        <v>187</v>
      </c>
    </row>
    <row r="228" customFormat="false" ht="15" hidden="false" customHeight="false" outlineLevel="0" collapsed="false">
      <c r="A228" s="6" t="s">
        <v>1080</v>
      </c>
      <c r="B228" s="6" t="s">
        <v>174</v>
      </c>
      <c r="C228" s="6" t="s">
        <v>59</v>
      </c>
      <c r="D228" s="6" t="s">
        <v>1081</v>
      </c>
      <c r="E228" s="6" t="s">
        <v>1082</v>
      </c>
      <c r="F228" s="6" t="n">
        <v>2025</v>
      </c>
      <c r="G228" s="6"/>
      <c r="H228" s="6" t="s">
        <v>1083</v>
      </c>
      <c r="I228" s="6"/>
      <c r="J228" s="6" t="s">
        <v>133</v>
      </c>
      <c r="K228" s="6" t="s">
        <v>81</v>
      </c>
      <c r="L228" s="6"/>
      <c r="M228" s="6"/>
      <c r="N228" s="6"/>
      <c r="O228" s="6"/>
      <c r="P228" s="6"/>
      <c r="Q228" s="6"/>
      <c r="R228" s="6" t="s">
        <v>975</v>
      </c>
    </row>
    <row r="229" customFormat="false" ht="15" hidden="false" customHeight="false" outlineLevel="0" collapsed="false">
      <c r="A229" s="6" t="s">
        <v>1084</v>
      </c>
      <c r="B229" s="6" t="s">
        <v>174</v>
      </c>
      <c r="C229" s="6" t="s">
        <v>59</v>
      </c>
      <c r="D229" s="6" t="s">
        <v>1085</v>
      </c>
      <c r="E229" s="6" t="s">
        <v>1086</v>
      </c>
      <c r="F229" s="6" t="n">
        <v>2025</v>
      </c>
      <c r="G229" s="6"/>
      <c r="H229" s="6" t="s">
        <v>1087</v>
      </c>
      <c r="I229" s="6"/>
      <c r="J229" s="6" t="s">
        <v>133</v>
      </c>
      <c r="K229" s="6" t="s">
        <v>77</v>
      </c>
      <c r="L229" s="6"/>
      <c r="M229" s="6"/>
      <c r="N229" s="6"/>
      <c r="O229" s="6"/>
      <c r="P229" s="6"/>
      <c r="Q229" s="6"/>
      <c r="R229" s="6" t="s">
        <v>187</v>
      </c>
    </row>
    <row r="230" customFormat="false" ht="15" hidden="false" customHeight="false" outlineLevel="0" collapsed="false">
      <c r="A230" s="6" t="s">
        <v>1088</v>
      </c>
      <c r="B230" s="6" t="s">
        <v>174</v>
      </c>
      <c r="C230" s="6" t="s">
        <v>59</v>
      </c>
      <c r="D230" s="6" t="s">
        <v>1089</v>
      </c>
      <c r="E230" s="6" t="s">
        <v>1090</v>
      </c>
      <c r="F230" s="6" t="n">
        <v>2025</v>
      </c>
      <c r="G230" s="6"/>
      <c r="H230" s="6" t="s">
        <v>1091</v>
      </c>
      <c r="I230" s="6"/>
      <c r="J230" s="6" t="s">
        <v>133</v>
      </c>
      <c r="K230" s="6" t="s">
        <v>77</v>
      </c>
      <c r="L230" s="6"/>
      <c r="M230" s="6"/>
      <c r="N230" s="6"/>
      <c r="O230" s="6"/>
      <c r="P230" s="6"/>
      <c r="Q230" s="6"/>
      <c r="R230" s="6" t="s">
        <v>187</v>
      </c>
    </row>
    <row r="231" customFormat="false" ht="15" hidden="false" customHeight="false" outlineLevel="0" collapsed="false">
      <c r="A231" s="6" t="s">
        <v>1092</v>
      </c>
      <c r="B231" s="6" t="s">
        <v>174</v>
      </c>
      <c r="C231" s="6" t="s">
        <v>59</v>
      </c>
      <c r="D231" s="6" t="s">
        <v>1093</v>
      </c>
      <c r="E231" s="6" t="s">
        <v>1094</v>
      </c>
      <c r="F231" s="6" t="n">
        <v>2025</v>
      </c>
      <c r="G231" s="6"/>
      <c r="H231" s="6" t="s">
        <v>1095</v>
      </c>
      <c r="I231" s="6"/>
      <c r="J231" s="6" t="s">
        <v>133</v>
      </c>
      <c r="K231" s="6" t="s">
        <v>77</v>
      </c>
      <c r="L231" s="6"/>
      <c r="M231" s="6"/>
      <c r="N231" s="6"/>
      <c r="O231" s="6"/>
      <c r="P231" s="6"/>
      <c r="Q231" s="6"/>
      <c r="R231" s="6" t="s">
        <v>187</v>
      </c>
    </row>
    <row r="232" customFormat="false" ht="15" hidden="false" customHeight="false" outlineLevel="0" collapsed="false">
      <c r="A232" s="6" t="s">
        <v>1096</v>
      </c>
      <c r="B232" s="6" t="s">
        <v>174</v>
      </c>
      <c r="C232" s="6" t="s">
        <v>59</v>
      </c>
      <c r="D232" s="6" t="s">
        <v>1097</v>
      </c>
      <c r="E232" s="6" t="s">
        <v>1098</v>
      </c>
      <c r="F232" s="6" t="n">
        <v>2024</v>
      </c>
      <c r="G232" s="6"/>
      <c r="H232" s="6" t="s">
        <v>1099</v>
      </c>
      <c r="I232" s="6"/>
      <c r="J232" s="6" t="s">
        <v>133</v>
      </c>
      <c r="K232" s="6" t="s">
        <v>77</v>
      </c>
      <c r="L232" s="6"/>
      <c r="M232" s="6"/>
      <c r="N232" s="6"/>
      <c r="O232" s="6"/>
      <c r="P232" s="6"/>
      <c r="Q232" s="6"/>
      <c r="R232" s="6" t="s">
        <v>187</v>
      </c>
    </row>
    <row r="233" customFormat="false" ht="15" hidden="false" customHeight="false" outlineLevel="0" collapsed="false">
      <c r="A233" s="6" t="s">
        <v>1100</v>
      </c>
      <c r="B233" s="6" t="s">
        <v>174</v>
      </c>
      <c r="C233" s="6" t="s">
        <v>59</v>
      </c>
      <c r="D233" s="6" t="s">
        <v>1101</v>
      </c>
      <c r="E233" s="6" t="s">
        <v>1102</v>
      </c>
      <c r="F233" s="6" t="n">
        <v>2025</v>
      </c>
      <c r="G233" s="6"/>
      <c r="H233" s="6" t="s">
        <v>1103</v>
      </c>
      <c r="I233" s="6"/>
      <c r="J233" s="6" t="s">
        <v>133</v>
      </c>
      <c r="K233" s="6" t="s">
        <v>77</v>
      </c>
      <c r="L233" s="6"/>
      <c r="M233" s="6"/>
      <c r="N233" s="6"/>
      <c r="O233" s="6"/>
      <c r="P233" s="6"/>
      <c r="Q233" s="6"/>
      <c r="R233" s="6" t="s">
        <v>187</v>
      </c>
    </row>
    <row r="234" customFormat="false" ht="15" hidden="false" customHeight="false" outlineLevel="0" collapsed="false">
      <c r="A234" s="6" t="s">
        <v>1104</v>
      </c>
      <c r="B234" s="6" t="s">
        <v>174</v>
      </c>
      <c r="C234" s="6" t="s">
        <v>59</v>
      </c>
      <c r="D234" s="6" t="s">
        <v>1105</v>
      </c>
      <c r="E234" s="6" t="s">
        <v>885</v>
      </c>
      <c r="F234" s="6" t="n">
        <v>2023</v>
      </c>
      <c r="G234" s="6"/>
      <c r="H234" s="6" t="s">
        <v>1106</v>
      </c>
      <c r="I234" s="6"/>
      <c r="J234" s="6" t="s">
        <v>133</v>
      </c>
      <c r="K234" s="6" t="s">
        <v>77</v>
      </c>
      <c r="L234" s="6"/>
      <c r="M234" s="6"/>
      <c r="N234" s="6"/>
      <c r="O234" s="6"/>
      <c r="P234" s="6"/>
      <c r="Q234" s="6"/>
      <c r="R234" s="6" t="s">
        <v>187</v>
      </c>
    </row>
    <row r="235" customFormat="false" ht="15" hidden="false" customHeight="false" outlineLevel="0" collapsed="false">
      <c r="A235" s="6" t="s">
        <v>1107</v>
      </c>
      <c r="B235" s="6" t="s">
        <v>174</v>
      </c>
      <c r="C235" s="6" t="s">
        <v>59</v>
      </c>
      <c r="D235" s="6" t="s">
        <v>1108</v>
      </c>
      <c r="E235" s="6" t="s">
        <v>1109</v>
      </c>
      <c r="F235" s="6" t="n">
        <v>2026</v>
      </c>
      <c r="G235" s="6"/>
      <c r="H235" s="6" t="s">
        <v>1110</v>
      </c>
      <c r="I235" s="6"/>
      <c r="J235" s="6" t="s">
        <v>133</v>
      </c>
      <c r="K235" s="6" t="s">
        <v>77</v>
      </c>
      <c r="L235" s="6"/>
      <c r="M235" s="6"/>
      <c r="N235" s="6"/>
      <c r="O235" s="6"/>
      <c r="P235" s="6"/>
      <c r="Q235" s="6"/>
      <c r="R235" s="6" t="s">
        <v>187</v>
      </c>
    </row>
    <row r="236" customFormat="false" ht="15" hidden="false" customHeight="false" outlineLevel="0" collapsed="false">
      <c r="A236" s="6" t="s">
        <v>1111</v>
      </c>
      <c r="B236" s="6" t="s">
        <v>174</v>
      </c>
      <c r="C236" s="6" t="s">
        <v>59</v>
      </c>
      <c r="D236" s="6" t="s">
        <v>1112</v>
      </c>
      <c r="E236" s="6" t="s">
        <v>1113</v>
      </c>
      <c r="F236" s="6" t="n">
        <v>2020</v>
      </c>
      <c r="G236" s="6"/>
      <c r="H236" s="6" t="s">
        <v>1114</v>
      </c>
      <c r="I236" s="6"/>
      <c r="J236" s="6" t="s">
        <v>133</v>
      </c>
      <c r="K236" s="6" t="s">
        <v>77</v>
      </c>
      <c r="L236" s="6"/>
      <c r="M236" s="6"/>
      <c r="N236" s="6"/>
      <c r="O236" s="6"/>
      <c r="P236" s="6"/>
      <c r="Q236" s="6"/>
      <c r="R236" s="6" t="s">
        <v>187</v>
      </c>
    </row>
    <row r="237" customFormat="false" ht="15" hidden="false" customHeight="false" outlineLevel="0" collapsed="false">
      <c r="A237" s="6" t="s">
        <v>1115</v>
      </c>
      <c r="B237" s="6" t="s">
        <v>174</v>
      </c>
      <c r="C237" s="6" t="s">
        <v>59</v>
      </c>
      <c r="D237" s="6" t="s">
        <v>1116</v>
      </c>
      <c r="E237" s="6" t="s">
        <v>1117</v>
      </c>
      <c r="F237" s="6" t="n">
        <v>2022</v>
      </c>
      <c r="G237" s="6"/>
      <c r="H237" s="6" t="s">
        <v>1118</v>
      </c>
      <c r="I237" s="6"/>
      <c r="J237" s="6" t="s">
        <v>133</v>
      </c>
      <c r="K237" s="6" t="s">
        <v>77</v>
      </c>
      <c r="L237" s="6"/>
      <c r="M237" s="6"/>
      <c r="N237" s="6"/>
      <c r="O237" s="6"/>
      <c r="P237" s="6"/>
      <c r="Q237" s="6"/>
      <c r="R237" s="6" t="s">
        <v>187</v>
      </c>
    </row>
    <row r="238" customFormat="false" ht="15" hidden="false" customHeight="false" outlineLevel="0" collapsed="false">
      <c r="A238" s="6" t="s">
        <v>1119</v>
      </c>
      <c r="B238" s="6" t="s">
        <v>174</v>
      </c>
      <c r="C238" s="6" t="s">
        <v>59</v>
      </c>
      <c r="D238" s="6" t="s">
        <v>1120</v>
      </c>
      <c r="E238" s="6" t="s">
        <v>1121</v>
      </c>
      <c r="F238" s="6" t="n">
        <v>2026</v>
      </c>
      <c r="G238" s="6"/>
      <c r="H238" s="6" t="s">
        <v>1122</v>
      </c>
      <c r="I238" s="6"/>
      <c r="J238" s="6" t="s">
        <v>133</v>
      </c>
      <c r="K238" s="6" t="s">
        <v>77</v>
      </c>
      <c r="L238" s="6"/>
      <c r="M238" s="6"/>
      <c r="N238" s="6"/>
      <c r="O238" s="6"/>
      <c r="P238" s="6"/>
      <c r="Q238" s="6"/>
      <c r="R238" s="6" t="s">
        <v>187</v>
      </c>
    </row>
    <row r="239" customFormat="false" ht="15" hidden="false" customHeight="false" outlineLevel="0" collapsed="false">
      <c r="A239" s="6" t="s">
        <v>1123</v>
      </c>
      <c r="B239" s="6" t="s">
        <v>174</v>
      </c>
      <c r="C239" s="6" t="s">
        <v>59</v>
      </c>
      <c r="D239" s="6" t="s">
        <v>1124</v>
      </c>
      <c r="E239" s="6" t="s">
        <v>1125</v>
      </c>
      <c r="F239" s="6" t="n">
        <v>2026</v>
      </c>
      <c r="G239" s="6"/>
      <c r="H239" s="6" t="s">
        <v>1126</v>
      </c>
      <c r="I239" s="6"/>
      <c r="J239" s="6" t="s">
        <v>133</v>
      </c>
      <c r="K239" s="6" t="s">
        <v>77</v>
      </c>
      <c r="L239" s="6"/>
      <c r="M239" s="6"/>
      <c r="N239" s="6"/>
      <c r="O239" s="6"/>
      <c r="P239" s="6"/>
      <c r="Q239" s="6"/>
      <c r="R239" s="6" t="s">
        <v>187</v>
      </c>
    </row>
    <row r="240" customFormat="false" ht="15" hidden="false" customHeight="false" outlineLevel="0" collapsed="false">
      <c r="A240" s="6" t="s">
        <v>1127</v>
      </c>
      <c r="B240" s="6" t="s">
        <v>174</v>
      </c>
      <c r="C240" s="6" t="s">
        <v>59</v>
      </c>
      <c r="D240" s="6" t="s">
        <v>1128</v>
      </c>
      <c r="E240" s="6" t="s">
        <v>1129</v>
      </c>
      <c r="F240" s="6" t="n">
        <v>2026</v>
      </c>
      <c r="G240" s="6"/>
      <c r="H240" s="6" t="s">
        <v>1130</v>
      </c>
      <c r="I240" s="6"/>
      <c r="J240" s="6" t="s">
        <v>133</v>
      </c>
      <c r="K240" s="6" t="s">
        <v>77</v>
      </c>
      <c r="L240" s="6"/>
      <c r="M240" s="6"/>
      <c r="N240" s="6"/>
      <c r="O240" s="6"/>
      <c r="P240" s="6"/>
      <c r="Q240" s="6"/>
      <c r="R240" s="6" t="s">
        <v>187</v>
      </c>
    </row>
    <row r="241" customFormat="false" ht="15" hidden="false" customHeight="false" outlineLevel="0" collapsed="false">
      <c r="A241" s="6" t="s">
        <v>1131</v>
      </c>
      <c r="B241" s="6" t="s">
        <v>174</v>
      </c>
      <c r="C241" s="6" t="s">
        <v>59</v>
      </c>
      <c r="D241" s="6" t="s">
        <v>1132</v>
      </c>
      <c r="E241" s="6" t="s">
        <v>1133</v>
      </c>
      <c r="F241" s="6" t="n">
        <v>2026</v>
      </c>
      <c r="G241" s="6"/>
      <c r="H241" s="6" t="s">
        <v>1134</v>
      </c>
      <c r="I241" s="6"/>
      <c r="J241" s="6" t="s">
        <v>133</v>
      </c>
      <c r="K241" s="6" t="s">
        <v>77</v>
      </c>
      <c r="L241" s="6"/>
      <c r="M241" s="6"/>
      <c r="N241" s="6"/>
      <c r="O241" s="6"/>
      <c r="P241" s="6"/>
      <c r="Q241" s="6"/>
      <c r="R241" s="6" t="s">
        <v>187</v>
      </c>
    </row>
    <row r="242" customFormat="false" ht="15" hidden="false" customHeight="false" outlineLevel="0" collapsed="false">
      <c r="A242" s="6" t="s">
        <v>1135</v>
      </c>
      <c r="B242" s="6" t="s">
        <v>174</v>
      </c>
      <c r="C242" s="6" t="s">
        <v>59</v>
      </c>
      <c r="D242" s="6" t="s">
        <v>1136</v>
      </c>
      <c r="E242" s="6" t="s">
        <v>1137</v>
      </c>
      <c r="F242" s="6" t="n">
        <v>2018</v>
      </c>
      <c r="G242" s="6"/>
      <c r="H242" s="6" t="s">
        <v>1138</v>
      </c>
      <c r="I242" s="6"/>
      <c r="J242" s="6" t="s">
        <v>133</v>
      </c>
      <c r="K242" s="6" t="s">
        <v>77</v>
      </c>
      <c r="L242" s="6"/>
      <c r="M242" s="6"/>
      <c r="N242" s="6"/>
      <c r="O242" s="6"/>
      <c r="P242" s="6"/>
      <c r="Q242" s="6"/>
      <c r="R242" s="6" t="s">
        <v>187</v>
      </c>
    </row>
    <row r="243" customFormat="false" ht="15" hidden="false" customHeight="false" outlineLevel="0" collapsed="false">
      <c r="A243" s="6" t="s">
        <v>1139</v>
      </c>
      <c r="B243" s="6" t="s">
        <v>174</v>
      </c>
      <c r="C243" s="6" t="s">
        <v>59</v>
      </c>
      <c r="D243" s="6" t="s">
        <v>1140</v>
      </c>
      <c r="E243" s="6" t="s">
        <v>1141</v>
      </c>
      <c r="F243" s="6" t="n">
        <v>2025</v>
      </c>
      <c r="G243" s="6"/>
      <c r="H243" s="6" t="s">
        <v>1142</v>
      </c>
      <c r="I243" s="6"/>
      <c r="J243" s="6" t="s">
        <v>133</v>
      </c>
      <c r="K243" s="6" t="s">
        <v>77</v>
      </c>
      <c r="L243" s="6"/>
      <c r="M243" s="6"/>
      <c r="N243" s="6"/>
      <c r="O243" s="6"/>
      <c r="P243" s="6"/>
      <c r="Q243" s="6"/>
      <c r="R243" s="6" t="s">
        <v>187</v>
      </c>
    </row>
    <row r="244" customFormat="false" ht="15" hidden="false" customHeight="false" outlineLevel="0" collapsed="false">
      <c r="A244" s="6" t="s">
        <v>1143</v>
      </c>
      <c r="B244" s="6" t="s">
        <v>174</v>
      </c>
      <c r="C244" s="6" t="s">
        <v>59</v>
      </c>
      <c r="D244" s="6" t="s">
        <v>1144</v>
      </c>
      <c r="E244" s="6" t="s">
        <v>1145</v>
      </c>
      <c r="F244" s="6" t="n">
        <v>2023</v>
      </c>
      <c r="G244" s="6"/>
      <c r="H244" s="6" t="s">
        <v>1146</v>
      </c>
      <c r="I244" s="6"/>
      <c r="J244" s="6" t="s">
        <v>133</v>
      </c>
      <c r="K244" s="6" t="s">
        <v>77</v>
      </c>
      <c r="L244" s="6"/>
      <c r="M244" s="6"/>
      <c r="N244" s="6"/>
      <c r="O244" s="6"/>
      <c r="P244" s="6"/>
      <c r="Q244" s="6"/>
      <c r="R244" s="6" t="s">
        <v>187</v>
      </c>
    </row>
    <row r="245" customFormat="false" ht="15" hidden="false" customHeight="false" outlineLevel="0" collapsed="false">
      <c r="A245" s="6" t="s">
        <v>1147</v>
      </c>
      <c r="B245" s="6" t="s">
        <v>174</v>
      </c>
      <c r="C245" s="6" t="s">
        <v>59</v>
      </c>
      <c r="D245" s="6" t="s">
        <v>1148</v>
      </c>
      <c r="E245" s="6" t="s">
        <v>1149</v>
      </c>
      <c r="F245" s="6" t="n">
        <v>2022</v>
      </c>
      <c r="G245" s="6"/>
      <c r="H245" s="6" t="s">
        <v>1150</v>
      </c>
      <c r="I245" s="6"/>
      <c r="J245" s="6" t="s">
        <v>133</v>
      </c>
      <c r="K245" s="6" t="s">
        <v>77</v>
      </c>
      <c r="L245" s="6"/>
      <c r="M245" s="6"/>
      <c r="N245" s="6"/>
      <c r="O245" s="6"/>
      <c r="P245" s="6"/>
      <c r="Q245" s="6"/>
      <c r="R245" s="6" t="s">
        <v>187</v>
      </c>
    </row>
    <row r="246" customFormat="false" ht="15" hidden="false" customHeight="false" outlineLevel="0" collapsed="false">
      <c r="A246" s="6" t="s">
        <v>1151</v>
      </c>
      <c r="B246" s="6" t="s">
        <v>174</v>
      </c>
      <c r="C246" s="6" t="s">
        <v>59</v>
      </c>
      <c r="D246" s="6" t="s">
        <v>1152</v>
      </c>
      <c r="E246" s="6" t="s">
        <v>1153</v>
      </c>
      <c r="F246" s="6" t="n">
        <v>2017</v>
      </c>
      <c r="G246" s="6"/>
      <c r="H246" s="6" t="s">
        <v>1154</v>
      </c>
      <c r="I246" s="6"/>
      <c r="J246" s="6" t="s">
        <v>133</v>
      </c>
      <c r="K246" s="6" t="s">
        <v>77</v>
      </c>
      <c r="L246" s="6"/>
      <c r="M246" s="6"/>
      <c r="N246" s="6"/>
      <c r="O246" s="6"/>
      <c r="P246" s="6"/>
      <c r="Q246" s="6"/>
      <c r="R246" s="6" t="s">
        <v>187</v>
      </c>
    </row>
    <row r="247" customFormat="false" ht="15" hidden="false" customHeight="false" outlineLevel="0" collapsed="false">
      <c r="A247" s="6" t="s">
        <v>1155</v>
      </c>
      <c r="B247" s="6" t="s">
        <v>174</v>
      </c>
      <c r="C247" s="6" t="s">
        <v>59</v>
      </c>
      <c r="D247" s="6" t="s">
        <v>1156</v>
      </c>
      <c r="E247" s="6" t="s">
        <v>1157</v>
      </c>
      <c r="F247" s="6" t="n">
        <v>2016</v>
      </c>
      <c r="G247" s="6"/>
      <c r="H247" s="6"/>
      <c r="I247" s="6"/>
      <c r="J247" s="6" t="s">
        <v>133</v>
      </c>
      <c r="K247" s="6" t="s">
        <v>77</v>
      </c>
      <c r="L247" s="6"/>
      <c r="M247" s="6"/>
      <c r="N247" s="6"/>
      <c r="O247" s="6"/>
      <c r="P247" s="6"/>
      <c r="Q247" s="6"/>
      <c r="R247" s="6" t="s">
        <v>187</v>
      </c>
    </row>
    <row r="248" customFormat="false" ht="15" hidden="false" customHeight="false" outlineLevel="0" collapsed="false">
      <c r="A248" s="6" t="s">
        <v>1158</v>
      </c>
      <c r="B248" s="6" t="s">
        <v>174</v>
      </c>
      <c r="C248" s="6" t="s">
        <v>59</v>
      </c>
      <c r="D248" s="6" t="s">
        <v>1159</v>
      </c>
      <c r="E248" s="6" t="s">
        <v>1160</v>
      </c>
      <c r="F248" s="6" t="n">
        <v>2025</v>
      </c>
      <c r="G248" s="6"/>
      <c r="H248" s="6" t="s">
        <v>1161</v>
      </c>
      <c r="I248" s="6"/>
      <c r="J248" s="6" t="s">
        <v>133</v>
      </c>
      <c r="K248" s="6" t="s">
        <v>77</v>
      </c>
      <c r="L248" s="6"/>
      <c r="M248" s="6"/>
      <c r="N248" s="6"/>
      <c r="O248" s="6"/>
      <c r="P248" s="6"/>
      <c r="Q248" s="6"/>
      <c r="R248" s="6" t="s">
        <v>187</v>
      </c>
    </row>
    <row r="249" customFormat="false" ht="15" hidden="false" customHeight="false" outlineLevel="0" collapsed="false">
      <c r="A249" s="6" t="s">
        <v>1162</v>
      </c>
      <c r="B249" s="6" t="s">
        <v>174</v>
      </c>
      <c r="C249" s="6" t="s">
        <v>59</v>
      </c>
      <c r="D249" s="6" t="s">
        <v>1163</v>
      </c>
      <c r="E249" s="6" t="s">
        <v>1164</v>
      </c>
      <c r="F249" s="6" t="n">
        <v>2026</v>
      </c>
      <c r="G249" s="6"/>
      <c r="H249" s="6" t="s">
        <v>1165</v>
      </c>
      <c r="I249" s="6"/>
      <c r="J249" s="6" t="s">
        <v>133</v>
      </c>
      <c r="K249" s="6" t="s">
        <v>77</v>
      </c>
      <c r="L249" s="6"/>
      <c r="M249" s="6"/>
      <c r="N249" s="6"/>
      <c r="O249" s="6"/>
      <c r="P249" s="6"/>
      <c r="Q249" s="6"/>
      <c r="R249" s="6" t="s">
        <v>187</v>
      </c>
    </row>
    <row r="250" customFormat="false" ht="15" hidden="false" customHeight="false" outlineLevel="0" collapsed="false">
      <c r="A250" s="6" t="s">
        <v>1166</v>
      </c>
      <c r="B250" s="6" t="s">
        <v>174</v>
      </c>
      <c r="C250" s="6" t="s">
        <v>59</v>
      </c>
      <c r="D250" s="6" t="s">
        <v>1167</v>
      </c>
      <c r="E250" s="6" t="s">
        <v>1168</v>
      </c>
      <c r="F250" s="6" t="n">
        <v>2024</v>
      </c>
      <c r="G250" s="6"/>
      <c r="H250" s="6" t="s">
        <v>1169</v>
      </c>
      <c r="I250" s="6"/>
      <c r="J250" s="6" t="s">
        <v>133</v>
      </c>
      <c r="K250" s="6" t="s">
        <v>77</v>
      </c>
      <c r="L250" s="6"/>
      <c r="M250" s="6"/>
      <c r="N250" s="6"/>
      <c r="O250" s="6"/>
      <c r="P250" s="6"/>
      <c r="Q250" s="6"/>
      <c r="R250" s="6" t="s">
        <v>187</v>
      </c>
    </row>
    <row r="251" customFormat="false" ht="15" hidden="false" customHeight="false" outlineLevel="0" collapsed="false">
      <c r="A251" s="6" t="s">
        <v>1170</v>
      </c>
      <c r="B251" s="6" t="s">
        <v>174</v>
      </c>
      <c r="C251" s="6" t="s">
        <v>59</v>
      </c>
      <c r="D251" s="6" t="s">
        <v>1171</v>
      </c>
      <c r="E251" s="6" t="s">
        <v>1172</v>
      </c>
      <c r="F251" s="6" t="n">
        <v>2018</v>
      </c>
      <c r="G251" s="6"/>
      <c r="H251" s="6" t="s">
        <v>1173</v>
      </c>
      <c r="I251" s="6"/>
      <c r="J251" s="6" t="s">
        <v>133</v>
      </c>
      <c r="K251" s="6" t="s">
        <v>77</v>
      </c>
      <c r="L251" s="6"/>
      <c r="M251" s="6"/>
      <c r="N251" s="6"/>
      <c r="O251" s="6"/>
      <c r="P251" s="6"/>
      <c r="Q251" s="6"/>
      <c r="R251" s="6" t="s">
        <v>187</v>
      </c>
    </row>
    <row r="252" customFormat="false" ht="15" hidden="false" customHeight="false" outlineLevel="0" collapsed="false">
      <c r="A252" s="6" t="s">
        <v>1174</v>
      </c>
      <c r="B252" s="6" t="s">
        <v>174</v>
      </c>
      <c r="C252" s="6" t="s">
        <v>59</v>
      </c>
      <c r="D252" s="6" t="s">
        <v>1175</v>
      </c>
      <c r="E252" s="6" t="s">
        <v>1176</v>
      </c>
      <c r="F252" s="6" t="n">
        <v>2026</v>
      </c>
      <c r="G252" s="6"/>
      <c r="H252" s="6" t="s">
        <v>1177</v>
      </c>
      <c r="I252" s="6" t="s">
        <v>972</v>
      </c>
      <c r="J252" s="6" t="s">
        <v>133</v>
      </c>
      <c r="K252" s="6" t="s">
        <v>83</v>
      </c>
      <c r="L252" s="6"/>
      <c r="M252" s="6"/>
      <c r="N252" s="6"/>
      <c r="O252" s="6"/>
      <c r="P252" s="6"/>
      <c r="Q252" s="6"/>
      <c r="R252" s="6" t="s">
        <v>230</v>
      </c>
    </row>
    <row r="253" customFormat="false" ht="15" hidden="false" customHeight="false" outlineLevel="0" collapsed="false">
      <c r="A253" s="6" t="s">
        <v>1178</v>
      </c>
      <c r="B253" s="6" t="s">
        <v>174</v>
      </c>
      <c r="C253" s="6" t="s">
        <v>59</v>
      </c>
      <c r="D253" s="6" t="s">
        <v>1179</v>
      </c>
      <c r="E253" s="6" t="s">
        <v>1180</v>
      </c>
      <c r="F253" s="6" t="n">
        <v>2026</v>
      </c>
      <c r="G253" s="6"/>
      <c r="H253" s="6"/>
      <c r="I253" s="6"/>
      <c r="J253" s="6" t="s">
        <v>133</v>
      </c>
      <c r="K253" s="6" t="s">
        <v>77</v>
      </c>
      <c r="L253" s="6"/>
      <c r="M253" s="6"/>
      <c r="N253" s="6"/>
      <c r="O253" s="6"/>
      <c r="P253" s="6"/>
      <c r="Q253" s="6"/>
      <c r="R253" s="6" t="s">
        <v>187</v>
      </c>
    </row>
    <row r="254" customFormat="false" ht="15" hidden="false" customHeight="false" outlineLevel="0" collapsed="false">
      <c r="A254" s="6" t="s">
        <v>1181</v>
      </c>
      <c r="B254" s="6" t="s">
        <v>174</v>
      </c>
      <c r="C254" s="6" t="s">
        <v>59</v>
      </c>
      <c r="D254" s="6" t="s">
        <v>1182</v>
      </c>
      <c r="E254" s="6" t="s">
        <v>1183</v>
      </c>
      <c r="F254" s="6" t="n">
        <v>2026</v>
      </c>
      <c r="G254" s="6"/>
      <c r="H254" s="6" t="s">
        <v>1184</v>
      </c>
      <c r="I254" s="6"/>
      <c r="J254" s="6" t="s">
        <v>133</v>
      </c>
      <c r="K254" s="6" t="s">
        <v>89</v>
      </c>
      <c r="L254" s="6"/>
      <c r="M254" s="6"/>
      <c r="N254" s="6"/>
      <c r="O254" s="6"/>
      <c r="P254" s="6"/>
      <c r="Q254" s="6"/>
      <c r="R254" s="6" t="s">
        <v>247</v>
      </c>
    </row>
    <row r="255" customFormat="false" ht="15" hidden="false" customHeight="false" outlineLevel="0" collapsed="false">
      <c r="A255" s="6" t="s">
        <v>1185</v>
      </c>
      <c r="B255" s="6" t="s">
        <v>174</v>
      </c>
      <c r="C255" s="6" t="s">
        <v>59</v>
      </c>
      <c r="D255" s="6" t="s">
        <v>1186</v>
      </c>
      <c r="E255" s="6" t="s">
        <v>1187</v>
      </c>
      <c r="F255" s="6" t="n">
        <v>2026</v>
      </c>
      <c r="G255" s="6"/>
      <c r="H255" s="6" t="s">
        <v>1188</v>
      </c>
      <c r="I255" s="6"/>
      <c r="J255" s="6" t="s">
        <v>133</v>
      </c>
      <c r="K255" s="6" t="s">
        <v>77</v>
      </c>
      <c r="L255" s="6"/>
      <c r="M255" s="6"/>
      <c r="N255" s="6"/>
      <c r="O255" s="6"/>
      <c r="P255" s="6"/>
      <c r="Q255" s="6"/>
      <c r="R255" s="6" t="s">
        <v>187</v>
      </c>
    </row>
    <row r="256" customFormat="false" ht="15" hidden="false" customHeight="false" outlineLevel="0" collapsed="false">
      <c r="A256" s="6" t="s">
        <v>1189</v>
      </c>
      <c r="B256" s="6" t="s">
        <v>174</v>
      </c>
      <c r="C256" s="6" t="s">
        <v>59</v>
      </c>
      <c r="D256" s="6" t="s">
        <v>1190</v>
      </c>
      <c r="E256" s="6" t="s">
        <v>1191</v>
      </c>
      <c r="F256" s="6" t="n">
        <v>2021</v>
      </c>
      <c r="G256" s="6"/>
      <c r="H256" s="6" t="s">
        <v>1192</v>
      </c>
      <c r="I256" s="6"/>
      <c r="J256" s="6" t="s">
        <v>133</v>
      </c>
      <c r="K256" s="6" t="s">
        <v>77</v>
      </c>
      <c r="L256" s="6"/>
      <c r="M256" s="6"/>
      <c r="N256" s="6"/>
      <c r="O256" s="6"/>
      <c r="P256" s="6"/>
      <c r="Q256" s="6"/>
      <c r="R256" s="6" t="s">
        <v>187</v>
      </c>
    </row>
    <row r="257" customFormat="false" ht="15" hidden="false" customHeight="false" outlineLevel="0" collapsed="false">
      <c r="A257" s="6" t="s">
        <v>1193</v>
      </c>
      <c r="B257" s="6" t="s">
        <v>174</v>
      </c>
      <c r="C257" s="6" t="s">
        <v>59</v>
      </c>
      <c r="D257" s="6" t="s">
        <v>1194</v>
      </c>
      <c r="E257" s="6" t="s">
        <v>1195</v>
      </c>
      <c r="F257" s="6" t="n">
        <v>2024</v>
      </c>
      <c r="G257" s="6"/>
      <c r="H257" s="6"/>
      <c r="I257" s="6"/>
      <c r="J257" s="6" t="s">
        <v>152</v>
      </c>
      <c r="K257" s="6"/>
      <c r="L257" s="6" t="s">
        <v>120</v>
      </c>
      <c r="M257" s="6"/>
      <c r="N257" s="6" t="s">
        <v>1196</v>
      </c>
      <c r="O257" s="6" t="s">
        <v>261</v>
      </c>
      <c r="P257" s="6" t="s">
        <v>1197</v>
      </c>
      <c r="Q257" s="6" t="s">
        <v>137</v>
      </c>
      <c r="R257" s="6" t="s">
        <v>1198</v>
      </c>
      <c r="S257" s="6" t="s">
        <v>182</v>
      </c>
    </row>
    <row r="258" customFormat="false" ht="15" hidden="false" customHeight="false" outlineLevel="0" collapsed="false">
      <c r="A258" s="6" t="s">
        <v>1199</v>
      </c>
      <c r="B258" s="6" t="s">
        <v>174</v>
      </c>
      <c r="C258" s="6" t="s">
        <v>59</v>
      </c>
      <c r="D258" s="6" t="s">
        <v>1200</v>
      </c>
      <c r="E258" s="6" t="s">
        <v>1201</v>
      </c>
      <c r="F258" s="6" t="n">
        <v>2026</v>
      </c>
      <c r="G258" s="6"/>
      <c r="H258" s="6"/>
      <c r="I258" s="6"/>
      <c r="J258" s="6" t="s">
        <v>133</v>
      </c>
      <c r="K258" s="6" t="s">
        <v>77</v>
      </c>
      <c r="L258" s="6"/>
      <c r="M258" s="6"/>
      <c r="N258" s="6"/>
      <c r="O258" s="6"/>
      <c r="P258" s="6"/>
      <c r="Q258" s="6"/>
      <c r="R258" s="6" t="s">
        <v>187</v>
      </c>
    </row>
    <row r="259" customFormat="false" ht="15" hidden="false" customHeight="false" outlineLevel="0" collapsed="false">
      <c r="A259" s="6" t="s">
        <v>1202</v>
      </c>
      <c r="B259" s="6" t="s">
        <v>174</v>
      </c>
      <c r="C259" s="6" t="s">
        <v>59</v>
      </c>
      <c r="D259" s="6" t="s">
        <v>1203</v>
      </c>
      <c r="E259" s="6" t="s">
        <v>1070</v>
      </c>
      <c r="F259" s="6" t="n">
        <v>2026</v>
      </c>
      <c r="G259" s="6"/>
      <c r="H259" s="6" t="s">
        <v>1204</v>
      </c>
      <c r="I259" s="6"/>
      <c r="J259" s="6" t="s">
        <v>133</v>
      </c>
      <c r="K259" s="6" t="s">
        <v>79</v>
      </c>
      <c r="L259" s="6"/>
      <c r="M259" s="6"/>
      <c r="N259" s="6"/>
      <c r="O259" s="6"/>
      <c r="P259" s="6"/>
      <c r="Q259" s="6"/>
      <c r="R259" s="6" t="s">
        <v>1205</v>
      </c>
    </row>
    <row r="260" customFormat="false" ht="15" hidden="false" customHeight="false" outlineLevel="0" collapsed="false">
      <c r="A260" s="6" t="s">
        <v>1206</v>
      </c>
      <c r="B260" s="6" t="s">
        <v>174</v>
      </c>
      <c r="C260" s="6" t="s">
        <v>59</v>
      </c>
      <c r="D260" s="6" t="s">
        <v>1207</v>
      </c>
      <c r="E260" s="6" t="s">
        <v>1070</v>
      </c>
      <c r="F260" s="6" t="n">
        <v>2014</v>
      </c>
      <c r="G260" s="6"/>
      <c r="H260" s="6" t="s">
        <v>1208</v>
      </c>
      <c r="I260" s="6"/>
      <c r="J260" s="6" t="s">
        <v>133</v>
      </c>
      <c r="K260" s="6" t="s">
        <v>79</v>
      </c>
      <c r="L260" s="6"/>
      <c r="M260" s="6"/>
      <c r="N260" s="6"/>
      <c r="O260" s="6"/>
      <c r="P260" s="6"/>
      <c r="Q260" s="6"/>
      <c r="R260" s="6" t="s">
        <v>1205</v>
      </c>
    </row>
    <row r="261" customFormat="false" ht="15" hidden="false" customHeight="false" outlineLevel="0" collapsed="false">
      <c r="A261" s="6" t="s">
        <v>1209</v>
      </c>
      <c r="B261" s="6" t="s">
        <v>174</v>
      </c>
      <c r="C261" s="6" t="s">
        <v>59</v>
      </c>
      <c r="D261" s="6" t="s">
        <v>1210</v>
      </c>
      <c r="E261" s="6" t="s">
        <v>1211</v>
      </c>
      <c r="F261" s="6" t="n">
        <v>2019</v>
      </c>
      <c r="G261" s="6"/>
      <c r="H261" s="6"/>
      <c r="I261" s="6"/>
      <c r="J261" s="6" t="s">
        <v>133</v>
      </c>
      <c r="K261" s="6" t="s">
        <v>77</v>
      </c>
      <c r="L261" s="6"/>
      <c r="M261" s="6"/>
      <c r="N261" s="6"/>
      <c r="O261" s="6"/>
      <c r="P261" s="6"/>
      <c r="Q261" s="6"/>
      <c r="R261" s="6" t="s">
        <v>187</v>
      </c>
    </row>
    <row r="262" customFormat="false" ht="15" hidden="false" customHeight="false" outlineLevel="0" collapsed="false">
      <c r="A262" s="6" t="s">
        <v>1212</v>
      </c>
      <c r="B262" s="6" t="s">
        <v>174</v>
      </c>
      <c r="C262" s="6" t="s">
        <v>59</v>
      </c>
      <c r="D262" s="6" t="s">
        <v>1213</v>
      </c>
      <c r="E262" s="6" t="s">
        <v>1214</v>
      </c>
      <c r="F262" s="6" t="n">
        <v>2020</v>
      </c>
      <c r="G262" s="6"/>
      <c r="H262" s="6" t="s">
        <v>1215</v>
      </c>
      <c r="I262" s="6"/>
      <c r="J262" s="6" t="s">
        <v>133</v>
      </c>
      <c r="K262" s="6" t="s">
        <v>77</v>
      </c>
      <c r="L262" s="6"/>
      <c r="M262" s="6"/>
      <c r="N262" s="6"/>
      <c r="O262" s="6"/>
      <c r="P262" s="6"/>
      <c r="Q262" s="6"/>
      <c r="R262" s="6" t="s">
        <v>187</v>
      </c>
    </row>
    <row r="263" customFormat="false" ht="15" hidden="false" customHeight="false" outlineLevel="0" collapsed="false">
      <c r="A263" s="6" t="s">
        <v>1216</v>
      </c>
      <c r="B263" s="6" t="s">
        <v>174</v>
      </c>
      <c r="C263" s="6" t="s">
        <v>59</v>
      </c>
      <c r="D263" s="6" t="s">
        <v>1217</v>
      </c>
      <c r="E263" s="6" t="s">
        <v>1218</v>
      </c>
      <c r="F263" s="6" t="n">
        <v>2020</v>
      </c>
      <c r="G263" s="6"/>
      <c r="H263" s="6" t="s">
        <v>1219</v>
      </c>
      <c r="I263" s="6"/>
      <c r="J263" s="6" t="s">
        <v>133</v>
      </c>
      <c r="K263" s="6" t="s">
        <v>77</v>
      </c>
      <c r="L263" s="6"/>
      <c r="M263" s="6"/>
      <c r="N263" s="6"/>
      <c r="O263" s="6"/>
      <c r="P263" s="6"/>
      <c r="Q263" s="6"/>
      <c r="R263" s="6" t="s">
        <v>187</v>
      </c>
    </row>
    <row r="264" customFormat="false" ht="15" hidden="false" customHeight="false" outlineLevel="0" collapsed="false">
      <c r="A264" s="6" t="s">
        <v>1220</v>
      </c>
      <c r="B264" s="6" t="s">
        <v>174</v>
      </c>
      <c r="C264" s="6" t="s">
        <v>59</v>
      </c>
      <c r="D264" s="6" t="s">
        <v>1221</v>
      </c>
      <c r="E264" s="6" t="s">
        <v>1222</v>
      </c>
      <c r="F264" s="6" t="n">
        <v>2026</v>
      </c>
      <c r="G264" s="6"/>
      <c r="H264" s="6" t="s">
        <v>1223</v>
      </c>
      <c r="I264" s="6"/>
      <c r="J264" s="6" t="s">
        <v>133</v>
      </c>
      <c r="K264" s="6" t="s">
        <v>77</v>
      </c>
      <c r="L264" s="6"/>
      <c r="M264" s="6"/>
      <c r="N264" s="6"/>
      <c r="O264" s="6"/>
      <c r="P264" s="6"/>
      <c r="Q264" s="6"/>
      <c r="R264" s="6" t="s">
        <v>187</v>
      </c>
    </row>
    <row r="265" customFormat="false" ht="15" hidden="false" customHeight="false" outlineLevel="0" collapsed="false">
      <c r="A265" s="6" t="s">
        <v>1224</v>
      </c>
      <c r="B265" s="6" t="s">
        <v>174</v>
      </c>
      <c r="C265" s="6" t="s">
        <v>59</v>
      </c>
      <c r="D265" s="6" t="s">
        <v>1225</v>
      </c>
      <c r="E265" s="6" t="s">
        <v>1226</v>
      </c>
      <c r="F265" s="6" t="n">
        <v>2014</v>
      </c>
      <c r="G265" s="6"/>
      <c r="H265" s="6" t="s">
        <v>1227</v>
      </c>
      <c r="I265" s="6"/>
      <c r="J265" s="6" t="s">
        <v>133</v>
      </c>
      <c r="K265" s="6" t="s">
        <v>77</v>
      </c>
      <c r="L265" s="6"/>
      <c r="M265" s="6"/>
      <c r="N265" s="6"/>
      <c r="O265" s="6"/>
      <c r="P265" s="6"/>
      <c r="Q265" s="6"/>
      <c r="R265" s="6" t="s">
        <v>187</v>
      </c>
    </row>
    <row r="266" customFormat="false" ht="15" hidden="false" customHeight="false" outlineLevel="0" collapsed="false">
      <c r="A266" s="6" t="s">
        <v>1228</v>
      </c>
      <c r="B266" s="6" t="s">
        <v>174</v>
      </c>
      <c r="C266" s="6" t="s">
        <v>59</v>
      </c>
      <c r="D266" s="6" t="s">
        <v>1229</v>
      </c>
      <c r="E266" s="6" t="s">
        <v>1230</v>
      </c>
      <c r="F266" s="6" t="n">
        <v>2018</v>
      </c>
      <c r="G266" s="6"/>
      <c r="H266" s="6" t="s">
        <v>1231</v>
      </c>
      <c r="I266" s="6"/>
      <c r="J266" s="6" t="s">
        <v>133</v>
      </c>
      <c r="K266" s="6" t="s">
        <v>77</v>
      </c>
      <c r="L266" s="6"/>
      <c r="M266" s="6"/>
      <c r="N266" s="6"/>
      <c r="O266" s="6"/>
      <c r="P266" s="6"/>
      <c r="Q266" s="6"/>
      <c r="R266" s="6" t="s">
        <v>187</v>
      </c>
    </row>
    <row r="267" customFormat="false" ht="15" hidden="false" customHeight="false" outlineLevel="0" collapsed="false">
      <c r="A267" s="6" t="s">
        <v>1232</v>
      </c>
      <c r="B267" s="6" t="s">
        <v>174</v>
      </c>
      <c r="C267" s="6" t="s">
        <v>59</v>
      </c>
      <c r="D267" s="6" t="s">
        <v>1233</v>
      </c>
      <c r="E267" s="6" t="s">
        <v>1218</v>
      </c>
      <c r="F267" s="6" t="n">
        <v>2021</v>
      </c>
      <c r="G267" s="6"/>
      <c r="H267" s="6" t="s">
        <v>1234</v>
      </c>
      <c r="I267" s="6"/>
      <c r="J267" s="6" t="s">
        <v>133</v>
      </c>
      <c r="K267" s="6" t="s">
        <v>77</v>
      </c>
      <c r="L267" s="6"/>
      <c r="M267" s="6"/>
      <c r="N267" s="6"/>
      <c r="O267" s="6"/>
      <c r="P267" s="6"/>
      <c r="Q267" s="6"/>
      <c r="R267" s="6" t="s">
        <v>187</v>
      </c>
    </row>
    <row r="268" customFormat="false" ht="15" hidden="false" customHeight="false" outlineLevel="0" collapsed="false">
      <c r="A268" s="6" t="s">
        <v>1235</v>
      </c>
      <c r="B268" s="6" t="s">
        <v>174</v>
      </c>
      <c r="C268" s="6" t="s">
        <v>59</v>
      </c>
      <c r="D268" s="6" t="s">
        <v>1236</v>
      </c>
      <c r="E268" s="6" t="s">
        <v>1237</v>
      </c>
      <c r="F268" s="6" t="n">
        <v>2016</v>
      </c>
      <c r="G268" s="6"/>
      <c r="H268" s="6" t="s">
        <v>1238</v>
      </c>
      <c r="I268" s="6"/>
      <c r="J268" s="6" t="s">
        <v>133</v>
      </c>
      <c r="K268" s="6" t="s">
        <v>77</v>
      </c>
      <c r="L268" s="6"/>
      <c r="M268" s="6"/>
      <c r="N268" s="6"/>
      <c r="O268" s="6"/>
      <c r="P268" s="6"/>
      <c r="Q268" s="6"/>
      <c r="R268" s="6" t="s">
        <v>187</v>
      </c>
    </row>
    <row r="269" customFormat="false" ht="15" hidden="false" customHeight="false" outlineLevel="0" collapsed="false">
      <c r="A269" s="6" t="s">
        <v>1239</v>
      </c>
      <c r="B269" s="6" t="s">
        <v>174</v>
      </c>
      <c r="C269" s="6" t="s">
        <v>59</v>
      </c>
      <c r="D269" s="6" t="s">
        <v>1240</v>
      </c>
      <c r="E269" s="6" t="s">
        <v>1241</v>
      </c>
      <c r="F269" s="6" t="n">
        <v>2013</v>
      </c>
      <c r="G269" s="6"/>
      <c r="H269" s="6" t="s">
        <v>1242</v>
      </c>
      <c r="I269" s="6"/>
      <c r="J269" s="6" t="s">
        <v>133</v>
      </c>
      <c r="K269" s="6" t="s">
        <v>77</v>
      </c>
      <c r="L269" s="6"/>
      <c r="M269" s="6"/>
      <c r="N269" s="6"/>
      <c r="O269" s="6"/>
      <c r="P269" s="6"/>
      <c r="Q269" s="6"/>
      <c r="R269" s="6" t="s">
        <v>187</v>
      </c>
    </row>
    <row r="270" customFormat="false" ht="15" hidden="false" customHeight="false" outlineLevel="0" collapsed="false">
      <c r="A270" s="6" t="s">
        <v>1243</v>
      </c>
      <c r="B270" s="6" t="s">
        <v>174</v>
      </c>
      <c r="C270" s="6" t="s">
        <v>59</v>
      </c>
      <c r="D270" s="6" t="s">
        <v>1244</v>
      </c>
      <c r="E270" s="6" t="s">
        <v>1245</v>
      </c>
      <c r="F270" s="6" t="n">
        <v>2012</v>
      </c>
      <c r="G270" s="6"/>
      <c r="H270" s="6" t="s">
        <v>1246</v>
      </c>
      <c r="I270" s="6"/>
      <c r="J270" s="6" t="s">
        <v>133</v>
      </c>
      <c r="K270" s="6" t="s">
        <v>77</v>
      </c>
      <c r="L270" s="6"/>
      <c r="M270" s="6"/>
      <c r="N270" s="6"/>
      <c r="O270" s="6"/>
      <c r="P270" s="6"/>
      <c r="Q270" s="6"/>
      <c r="R270" s="6" t="s">
        <v>187</v>
      </c>
    </row>
    <row r="271" customFormat="false" ht="15" hidden="false" customHeight="false" outlineLevel="0" collapsed="false">
      <c r="A271" s="6" t="s">
        <v>1247</v>
      </c>
      <c r="B271" s="6" t="s">
        <v>174</v>
      </c>
      <c r="C271" s="6" t="s">
        <v>59</v>
      </c>
      <c r="D271" s="6" t="s">
        <v>1248</v>
      </c>
      <c r="E271" s="6" t="s">
        <v>1249</v>
      </c>
      <c r="F271" s="6" t="n">
        <v>2012</v>
      </c>
      <c r="G271" s="6"/>
      <c r="H271" s="6"/>
      <c r="I271" s="6"/>
      <c r="J271" s="6" t="s">
        <v>133</v>
      </c>
      <c r="K271" s="6" t="s">
        <v>77</v>
      </c>
      <c r="L271" s="6"/>
      <c r="M271" s="6"/>
      <c r="N271" s="6"/>
      <c r="O271" s="6"/>
      <c r="P271" s="6"/>
      <c r="Q271" s="6"/>
      <c r="R271" s="6" t="s">
        <v>187</v>
      </c>
    </row>
    <row r="272" customFormat="false" ht="15" hidden="false" customHeight="false" outlineLevel="0" collapsed="false">
      <c r="A272" s="6" t="s">
        <v>1250</v>
      </c>
      <c r="B272" s="6" t="s">
        <v>174</v>
      </c>
      <c r="C272" s="6" t="s">
        <v>59</v>
      </c>
      <c r="D272" s="6" t="s">
        <v>1251</v>
      </c>
      <c r="E272" s="6" t="s">
        <v>1252</v>
      </c>
      <c r="F272" s="6" t="n">
        <v>2013</v>
      </c>
      <c r="G272" s="6"/>
      <c r="H272" s="6" t="s">
        <v>1253</v>
      </c>
      <c r="I272" s="6"/>
      <c r="J272" s="6" t="s">
        <v>133</v>
      </c>
      <c r="K272" s="6" t="s">
        <v>77</v>
      </c>
      <c r="L272" s="6"/>
      <c r="M272" s="6"/>
      <c r="N272" s="6"/>
      <c r="O272" s="6"/>
      <c r="P272" s="6"/>
      <c r="Q272" s="6"/>
      <c r="R272" s="6" t="s">
        <v>187</v>
      </c>
    </row>
    <row r="273" customFormat="false" ht="15" hidden="false" customHeight="false" outlineLevel="0" collapsed="false">
      <c r="A273" s="6" t="s">
        <v>1254</v>
      </c>
      <c r="B273" s="6" t="s">
        <v>174</v>
      </c>
      <c r="C273" s="6" t="s">
        <v>59</v>
      </c>
      <c r="D273" s="6" t="s">
        <v>1255</v>
      </c>
      <c r="E273" s="6" t="s">
        <v>1256</v>
      </c>
      <c r="F273" s="6" t="n">
        <v>2026</v>
      </c>
      <c r="G273" s="6"/>
      <c r="H273" s="6" t="s">
        <v>1257</v>
      </c>
      <c r="I273" s="6"/>
      <c r="J273" s="6" t="s">
        <v>133</v>
      </c>
      <c r="K273" s="6" t="s">
        <v>77</v>
      </c>
      <c r="L273" s="6"/>
      <c r="M273" s="6"/>
      <c r="N273" s="6"/>
      <c r="O273" s="6"/>
      <c r="P273" s="6"/>
      <c r="Q273" s="6"/>
      <c r="R273" s="6" t="s">
        <v>187</v>
      </c>
    </row>
    <row r="274" customFormat="false" ht="15" hidden="false" customHeight="false" outlineLevel="0" collapsed="false">
      <c r="A274" s="6" t="s">
        <v>1258</v>
      </c>
      <c r="B274" s="6" t="s">
        <v>174</v>
      </c>
      <c r="C274" s="6" t="s">
        <v>59</v>
      </c>
      <c r="D274" s="6" t="s">
        <v>1259</v>
      </c>
      <c r="E274" s="6" t="s">
        <v>1260</v>
      </c>
      <c r="F274" s="6" t="n">
        <v>2025</v>
      </c>
      <c r="G274" s="6"/>
      <c r="H274" s="6" t="s">
        <v>1261</v>
      </c>
      <c r="I274" s="6"/>
      <c r="J274" s="6" t="s">
        <v>133</v>
      </c>
      <c r="K274" s="6" t="s">
        <v>77</v>
      </c>
      <c r="L274" s="6"/>
      <c r="M274" s="6"/>
      <c r="N274" s="6"/>
      <c r="O274" s="6"/>
      <c r="P274" s="6"/>
      <c r="Q274" s="6"/>
      <c r="R274" s="6" t="s">
        <v>187</v>
      </c>
    </row>
    <row r="275" customFormat="false" ht="15" hidden="false" customHeight="false" outlineLevel="0" collapsed="false">
      <c r="A275" s="6" t="s">
        <v>1262</v>
      </c>
      <c r="B275" s="6" t="s">
        <v>174</v>
      </c>
      <c r="C275" s="6" t="s">
        <v>59</v>
      </c>
      <c r="D275" s="6" t="s">
        <v>1263</v>
      </c>
      <c r="E275" s="6" t="s">
        <v>1264</v>
      </c>
      <c r="F275" s="6" t="n">
        <v>2020</v>
      </c>
      <c r="G275" s="6"/>
      <c r="H275" s="6" t="s">
        <v>1265</v>
      </c>
      <c r="I275" s="6"/>
      <c r="J275" s="6" t="s">
        <v>133</v>
      </c>
      <c r="K275" s="6" t="s">
        <v>77</v>
      </c>
      <c r="L275" s="6"/>
      <c r="M275" s="6"/>
      <c r="N275" s="6"/>
      <c r="O275" s="6"/>
      <c r="P275" s="6"/>
      <c r="Q275" s="6"/>
      <c r="R275" s="6" t="s">
        <v>187</v>
      </c>
    </row>
    <row r="276" customFormat="false" ht="15" hidden="false" customHeight="false" outlineLevel="0" collapsed="false">
      <c r="A276" s="6" t="s">
        <v>1266</v>
      </c>
      <c r="B276" s="6" t="s">
        <v>174</v>
      </c>
      <c r="C276" s="6" t="s">
        <v>59</v>
      </c>
      <c r="D276" s="6" t="s">
        <v>1267</v>
      </c>
      <c r="E276" s="6" t="s">
        <v>1268</v>
      </c>
      <c r="F276" s="6" t="n">
        <v>2026</v>
      </c>
      <c r="G276" s="6"/>
      <c r="H276" s="6" t="s">
        <v>1269</v>
      </c>
      <c r="I276" s="6"/>
      <c r="J276" s="6" t="s">
        <v>133</v>
      </c>
      <c r="K276" s="6" t="s">
        <v>77</v>
      </c>
      <c r="L276" s="6"/>
      <c r="M276" s="6"/>
      <c r="N276" s="6"/>
      <c r="O276" s="6"/>
      <c r="P276" s="6"/>
      <c r="Q276" s="6"/>
      <c r="R276" s="6" t="s">
        <v>187</v>
      </c>
    </row>
    <row r="277" customFormat="false" ht="15" hidden="false" customHeight="false" outlineLevel="0" collapsed="false">
      <c r="A277" s="6" t="s">
        <v>1270</v>
      </c>
      <c r="B277" s="6" t="s">
        <v>174</v>
      </c>
      <c r="C277" s="6" t="s">
        <v>59</v>
      </c>
      <c r="D277" s="6" t="s">
        <v>1271</v>
      </c>
      <c r="E277" s="6" t="s">
        <v>1272</v>
      </c>
      <c r="F277" s="6" t="n">
        <v>2019</v>
      </c>
      <c r="G277" s="6"/>
      <c r="H277" s="6" t="s">
        <v>1273</v>
      </c>
      <c r="I277" s="6"/>
      <c r="J277" s="6" t="s">
        <v>133</v>
      </c>
      <c r="K277" s="6" t="s">
        <v>77</v>
      </c>
      <c r="L277" s="6"/>
      <c r="M277" s="6"/>
      <c r="N277" s="6"/>
      <c r="O277" s="6"/>
      <c r="P277" s="6"/>
      <c r="Q277" s="6"/>
      <c r="R277" s="6" t="s">
        <v>187</v>
      </c>
    </row>
    <row r="278" customFormat="false" ht="15" hidden="false" customHeight="false" outlineLevel="0" collapsed="false">
      <c r="A278" s="6" t="s">
        <v>1274</v>
      </c>
      <c r="B278" s="6" t="s">
        <v>174</v>
      </c>
      <c r="C278" s="6" t="s">
        <v>61</v>
      </c>
      <c r="D278" s="6" t="s">
        <v>1275</v>
      </c>
      <c r="E278" s="6" t="s">
        <v>1276</v>
      </c>
      <c r="F278" s="6" t="n">
        <v>2026</v>
      </c>
      <c r="G278" s="6"/>
      <c r="H278" s="6" t="s">
        <v>1277</v>
      </c>
      <c r="I278" s="6"/>
      <c r="J278" s="6" t="s">
        <v>133</v>
      </c>
      <c r="K278" s="6" t="s">
        <v>89</v>
      </c>
      <c r="L278" s="6"/>
      <c r="M278" s="6"/>
      <c r="N278" s="6"/>
      <c r="O278" s="6"/>
      <c r="P278" s="6"/>
      <c r="Q278" s="6"/>
      <c r="R278" s="6" t="s">
        <v>247</v>
      </c>
    </row>
    <row r="279" customFormat="false" ht="15" hidden="false" customHeight="false" outlineLevel="0" collapsed="false">
      <c r="A279" s="6" t="s">
        <v>1278</v>
      </c>
      <c r="B279" s="6" t="s">
        <v>174</v>
      </c>
      <c r="C279" s="6" t="s">
        <v>63</v>
      </c>
      <c r="D279" s="6" t="s">
        <v>1279</v>
      </c>
      <c r="E279" s="6" t="s">
        <v>1280</v>
      </c>
      <c r="F279" s="6" t="n">
        <v>2016</v>
      </c>
      <c r="G279" s="6"/>
      <c r="H279" s="6" t="s">
        <v>1281</v>
      </c>
      <c r="I279" s="6"/>
      <c r="J279" s="6" t="s">
        <v>133</v>
      </c>
      <c r="K279" s="6" t="s">
        <v>91</v>
      </c>
      <c r="L279" s="6"/>
      <c r="M279" s="6"/>
      <c r="N279" s="6"/>
      <c r="O279" s="6"/>
      <c r="P279" s="6"/>
      <c r="Q279" s="6"/>
      <c r="R279" s="6" t="s">
        <v>1282</v>
      </c>
    </row>
    <row r="280" customFormat="false" ht="15" hidden="false" customHeight="false" outlineLevel="0" collapsed="false">
      <c r="A280" s="6" t="s">
        <v>1283</v>
      </c>
      <c r="B280" s="6" t="s">
        <v>174</v>
      </c>
      <c r="C280" s="6" t="s">
        <v>63</v>
      </c>
      <c r="D280" s="6" t="s">
        <v>1284</v>
      </c>
      <c r="E280" s="6" t="s">
        <v>1285</v>
      </c>
      <c r="F280" s="6" t="n">
        <v>2015</v>
      </c>
      <c r="G280" s="6"/>
      <c r="H280" s="6" t="s">
        <v>1286</v>
      </c>
      <c r="I280" s="6"/>
      <c r="J280" s="6" t="s">
        <v>133</v>
      </c>
      <c r="K280" s="6" t="s">
        <v>91</v>
      </c>
      <c r="L280" s="6"/>
      <c r="M280" s="6"/>
      <c r="N280" s="6"/>
      <c r="O280" s="6"/>
      <c r="P280" s="6"/>
      <c r="Q280" s="6"/>
      <c r="R280" s="6" t="s">
        <v>1282</v>
      </c>
    </row>
    <row r="281" customFormat="false" ht="15" hidden="false" customHeight="false" outlineLevel="0" collapsed="false">
      <c r="A281" s="6" t="s">
        <v>1287</v>
      </c>
      <c r="B281" s="6" t="s">
        <v>174</v>
      </c>
      <c r="C281" s="6" t="s">
        <v>63</v>
      </c>
      <c r="D281" s="6" t="s">
        <v>1288</v>
      </c>
      <c r="E281" s="6" t="s">
        <v>1289</v>
      </c>
      <c r="F281" s="6" t="n">
        <v>2020</v>
      </c>
      <c r="G281" s="6"/>
      <c r="H281" s="6" t="s">
        <v>1290</v>
      </c>
      <c r="I281" s="6"/>
      <c r="J281" s="6" t="s">
        <v>133</v>
      </c>
      <c r="K281" s="6" t="s">
        <v>91</v>
      </c>
      <c r="L281" s="6"/>
      <c r="M281" s="6"/>
      <c r="N281" s="6"/>
      <c r="O281" s="6"/>
      <c r="P281" s="6"/>
      <c r="Q281" s="6"/>
      <c r="R281" s="6" t="s">
        <v>1291</v>
      </c>
    </row>
    <row r="282" customFormat="false" ht="15" hidden="false" customHeight="false" outlineLevel="0" collapsed="false">
      <c r="A282" s="6" t="s">
        <v>1292</v>
      </c>
      <c r="B282" s="6" t="s">
        <v>174</v>
      </c>
      <c r="C282" s="6" t="s">
        <v>63</v>
      </c>
      <c r="D282" s="6" t="s">
        <v>1293</v>
      </c>
      <c r="E282" s="6" t="s">
        <v>1294</v>
      </c>
      <c r="F282" s="6" t="n">
        <v>2019</v>
      </c>
      <c r="G282" s="6"/>
      <c r="H282" s="6" t="s">
        <v>1295</v>
      </c>
      <c r="I282" s="6"/>
      <c r="J282" s="6" t="s">
        <v>133</v>
      </c>
      <c r="K282" s="6" t="s">
        <v>91</v>
      </c>
      <c r="L282" s="6"/>
      <c r="M282" s="6"/>
      <c r="N282" s="6"/>
      <c r="O282" s="6"/>
      <c r="P282" s="6"/>
      <c r="Q282" s="6"/>
      <c r="R282" s="6" t="s">
        <v>1296</v>
      </c>
    </row>
    <row r="283" customFormat="false" ht="15" hidden="false" customHeight="false" outlineLevel="0" collapsed="false">
      <c r="A283" s="6" t="s">
        <v>1297</v>
      </c>
      <c r="B283" s="6" t="s">
        <v>174</v>
      </c>
      <c r="C283" s="6" t="s">
        <v>63</v>
      </c>
      <c r="D283" s="6" t="s">
        <v>1298</v>
      </c>
      <c r="E283" s="7" t="s">
        <v>1299</v>
      </c>
      <c r="F283" s="6" t="n">
        <v>2018</v>
      </c>
      <c r="G283" s="6"/>
      <c r="H283" s="6"/>
      <c r="I283" s="6"/>
      <c r="J283" s="6" t="s">
        <v>133</v>
      </c>
      <c r="K283" s="6" t="s">
        <v>89</v>
      </c>
      <c r="L283" s="6"/>
      <c r="M283" s="6"/>
      <c r="N283" s="6"/>
      <c r="O283" s="6"/>
      <c r="P283" s="6"/>
      <c r="Q283" s="6"/>
      <c r="R283" s="6" t="s">
        <v>247</v>
      </c>
    </row>
    <row r="284" customFormat="false" ht="15" hidden="false" customHeight="false" outlineLevel="0" collapsed="false">
      <c r="A284" s="6" t="s">
        <v>1300</v>
      </c>
      <c r="B284" s="6" t="s">
        <v>174</v>
      </c>
      <c r="C284" s="6" t="s">
        <v>63</v>
      </c>
      <c r="D284" s="6" t="s">
        <v>1301</v>
      </c>
      <c r="E284" s="6" t="s">
        <v>1302</v>
      </c>
      <c r="F284" s="6" t="n">
        <v>2014</v>
      </c>
      <c r="G284" s="6"/>
      <c r="H284" s="6" t="s">
        <v>1303</v>
      </c>
      <c r="I284" s="6"/>
      <c r="J284" s="6" t="s">
        <v>133</v>
      </c>
      <c r="K284" s="6" t="s">
        <v>91</v>
      </c>
      <c r="L284" s="6"/>
      <c r="M284" s="6"/>
      <c r="N284" s="6"/>
      <c r="O284" s="6"/>
      <c r="P284" s="6"/>
      <c r="Q284" s="6"/>
      <c r="R284" s="6" t="s">
        <v>1304</v>
      </c>
    </row>
    <row r="285" customFormat="false" ht="15" hidden="false" customHeight="false" outlineLevel="0" collapsed="false">
      <c r="A285" s="6" t="s">
        <v>1305</v>
      </c>
      <c r="B285" s="6" t="s">
        <v>174</v>
      </c>
      <c r="C285" s="6" t="s">
        <v>63</v>
      </c>
      <c r="D285" s="6" t="s">
        <v>1306</v>
      </c>
      <c r="E285" s="6" t="s">
        <v>1307</v>
      </c>
      <c r="F285" s="6" t="n">
        <v>2014</v>
      </c>
      <c r="G285" s="6"/>
      <c r="H285" s="6"/>
      <c r="I285" s="6"/>
      <c r="J285" s="6" t="s">
        <v>133</v>
      </c>
      <c r="K285" s="6" t="s">
        <v>89</v>
      </c>
      <c r="L285" s="6"/>
      <c r="M285" s="6"/>
      <c r="N285" s="6"/>
      <c r="O285" s="6"/>
      <c r="P285" s="6"/>
      <c r="Q285" s="6"/>
      <c r="R285" s="6" t="s">
        <v>247</v>
      </c>
    </row>
    <row r="286" customFormat="false" ht="15" hidden="false" customHeight="false" outlineLevel="0" collapsed="false">
      <c r="A286" s="6" t="s">
        <v>1308</v>
      </c>
      <c r="B286" s="6" t="s">
        <v>174</v>
      </c>
      <c r="C286" s="6" t="s">
        <v>63</v>
      </c>
      <c r="D286" s="6" t="s">
        <v>1309</v>
      </c>
      <c r="E286" s="6" t="s">
        <v>1310</v>
      </c>
      <c r="F286" s="6" t="n">
        <v>2017</v>
      </c>
      <c r="G286" s="6"/>
      <c r="H286" s="6" t="s">
        <v>1311</v>
      </c>
      <c r="I286" s="6"/>
      <c r="J286" s="6" t="s">
        <v>120</v>
      </c>
      <c r="K286" s="6"/>
      <c r="L286" s="6" t="s">
        <v>133</v>
      </c>
      <c r="M286" s="6" t="s">
        <v>91</v>
      </c>
      <c r="N286" s="6" t="s">
        <v>1312</v>
      </c>
      <c r="O286" s="6" t="s">
        <v>115</v>
      </c>
      <c r="P286" s="6" t="s">
        <v>1313</v>
      </c>
      <c r="Q286" s="6" t="s">
        <v>124</v>
      </c>
      <c r="R286" s="6" t="s">
        <v>1314</v>
      </c>
      <c r="S286" s="6" t="s">
        <v>182</v>
      </c>
    </row>
    <row r="287" customFormat="false" ht="15" hidden="false" customHeight="false" outlineLevel="0" collapsed="false">
      <c r="A287" s="6" t="s">
        <v>1315</v>
      </c>
      <c r="B287" s="6" t="s">
        <v>174</v>
      </c>
      <c r="C287" s="6" t="s">
        <v>63</v>
      </c>
      <c r="D287" s="6" t="s">
        <v>1316</v>
      </c>
      <c r="E287" s="6" t="s">
        <v>1317</v>
      </c>
      <c r="F287" s="6" t="n">
        <v>2017</v>
      </c>
      <c r="G287" s="6"/>
      <c r="H287" s="6"/>
      <c r="I287" s="6"/>
      <c r="J287" s="6" t="s">
        <v>120</v>
      </c>
      <c r="K287" s="6"/>
      <c r="L287" s="6" t="s">
        <v>120</v>
      </c>
      <c r="M287" s="6"/>
      <c r="N287" s="6" t="s">
        <v>1318</v>
      </c>
      <c r="O287" s="6" t="s">
        <v>135</v>
      </c>
      <c r="P287" s="6" t="s">
        <v>1319</v>
      </c>
      <c r="Q287" s="6" t="s">
        <v>124</v>
      </c>
      <c r="R287" s="6" t="s">
        <v>1320</v>
      </c>
      <c r="S287" s="6" t="s">
        <v>182</v>
      </c>
    </row>
    <row r="288" customFormat="false" ht="15" hidden="false" customHeight="false" outlineLevel="0" collapsed="false">
      <c r="A288" s="6" t="s">
        <v>1321</v>
      </c>
      <c r="B288" s="6" t="s">
        <v>174</v>
      </c>
      <c r="C288" s="6" t="s">
        <v>63</v>
      </c>
      <c r="D288" s="6" t="s">
        <v>1322</v>
      </c>
      <c r="E288" s="6" t="s">
        <v>1323</v>
      </c>
      <c r="F288" s="6" t="n">
        <v>2017</v>
      </c>
      <c r="G288" s="6"/>
      <c r="H288" s="6" t="s">
        <v>1324</v>
      </c>
      <c r="I288" s="6"/>
      <c r="J288" s="6" t="s">
        <v>133</v>
      </c>
      <c r="K288" s="6" t="s">
        <v>91</v>
      </c>
      <c r="L288" s="6"/>
      <c r="M288" s="6"/>
      <c r="N288" s="6"/>
      <c r="O288" s="6"/>
      <c r="P288" s="6"/>
      <c r="Q288" s="6"/>
      <c r="R288" s="6" t="s">
        <v>1325</v>
      </c>
    </row>
    <row r="289" customFormat="false" ht="15" hidden="false" customHeight="false" outlineLevel="0" collapsed="false">
      <c r="A289" s="6" t="s">
        <v>1326</v>
      </c>
      <c r="B289" s="6" t="s">
        <v>174</v>
      </c>
      <c r="C289" s="6" t="s">
        <v>63</v>
      </c>
      <c r="D289" s="6" t="s">
        <v>1327</v>
      </c>
      <c r="E289" s="6" t="s">
        <v>1328</v>
      </c>
      <c r="F289" s="6" t="n">
        <v>2012</v>
      </c>
      <c r="G289" s="6"/>
      <c r="H289" s="6"/>
      <c r="I289" s="6"/>
      <c r="J289" s="6" t="s">
        <v>133</v>
      </c>
      <c r="K289" s="6" t="s">
        <v>91</v>
      </c>
      <c r="L289" s="6"/>
      <c r="M289" s="6"/>
      <c r="N289" s="6"/>
      <c r="O289" s="6"/>
      <c r="P289" s="6"/>
      <c r="Q289" s="6"/>
      <c r="R289" s="6" t="s">
        <v>1329</v>
      </c>
    </row>
    <row r="290" customFormat="false" ht="15" hidden="false" customHeight="false" outlineLevel="0" collapsed="false">
      <c r="A290" s="6" t="s">
        <v>1330</v>
      </c>
      <c r="B290" s="6" t="s">
        <v>174</v>
      </c>
      <c r="C290" s="6" t="s">
        <v>63</v>
      </c>
      <c r="D290" s="6" t="s">
        <v>1331</v>
      </c>
      <c r="E290" s="6" t="s">
        <v>1332</v>
      </c>
      <c r="F290" s="6" t="n">
        <v>2017</v>
      </c>
      <c r="G290" s="6"/>
      <c r="H290" s="6" t="s">
        <v>1333</v>
      </c>
      <c r="I290" s="6"/>
      <c r="J290" s="6" t="s">
        <v>133</v>
      </c>
      <c r="K290" s="6" t="s">
        <v>91</v>
      </c>
      <c r="L290" s="6"/>
      <c r="M290" s="6"/>
      <c r="N290" s="6"/>
      <c r="O290" s="6"/>
      <c r="P290" s="6"/>
      <c r="Q290" s="6"/>
      <c r="R290" s="6" t="s">
        <v>1334</v>
      </c>
    </row>
    <row r="291" customFormat="false" ht="15" hidden="false" customHeight="false" outlineLevel="0" collapsed="false">
      <c r="A291" s="6" t="s">
        <v>1335</v>
      </c>
      <c r="B291" s="6" t="s">
        <v>174</v>
      </c>
      <c r="C291" s="6" t="s">
        <v>63</v>
      </c>
      <c r="D291" s="7" t="s">
        <v>1336</v>
      </c>
      <c r="E291" s="7" t="s">
        <v>1337</v>
      </c>
      <c r="F291" s="6" t="n">
        <v>2014</v>
      </c>
      <c r="G291" s="6"/>
      <c r="H291" s="6"/>
      <c r="I291" s="6"/>
      <c r="J291" s="6" t="s">
        <v>133</v>
      </c>
      <c r="K291" s="6" t="s">
        <v>89</v>
      </c>
      <c r="L291" s="6"/>
      <c r="M291" s="6"/>
      <c r="N291" s="6"/>
      <c r="O291" s="6"/>
      <c r="P291" s="6"/>
      <c r="Q291" s="6"/>
      <c r="R291" s="6" t="s">
        <v>247</v>
      </c>
    </row>
    <row r="292" customFormat="false" ht="15" hidden="false" customHeight="false" outlineLevel="0" collapsed="false">
      <c r="A292" s="6" t="s">
        <v>1338</v>
      </c>
      <c r="B292" s="6" t="s">
        <v>174</v>
      </c>
      <c r="C292" s="6" t="s">
        <v>63</v>
      </c>
      <c r="D292" s="6" t="s">
        <v>1339</v>
      </c>
      <c r="E292" s="6" t="s">
        <v>1340</v>
      </c>
      <c r="F292" s="6" t="n">
        <v>2012</v>
      </c>
      <c r="G292" s="6"/>
      <c r="H292" s="6" t="s">
        <v>1341</v>
      </c>
      <c r="I292" s="6"/>
      <c r="J292" s="6" t="s">
        <v>133</v>
      </c>
      <c r="K292" s="6" t="s">
        <v>91</v>
      </c>
      <c r="L292" s="6"/>
      <c r="M292" s="6"/>
      <c r="N292" s="6"/>
      <c r="O292" s="6"/>
      <c r="P292" s="6"/>
      <c r="Q292" s="6"/>
      <c r="R292" s="6" t="s">
        <v>1342</v>
      </c>
    </row>
    <row r="293" customFormat="false" ht="15" hidden="false" customHeight="false" outlineLevel="0" collapsed="false">
      <c r="A293" s="6" t="s">
        <v>1343</v>
      </c>
      <c r="B293" s="6" t="s">
        <v>174</v>
      </c>
      <c r="C293" s="6" t="s">
        <v>63</v>
      </c>
      <c r="D293" s="6" t="s">
        <v>1344</v>
      </c>
      <c r="E293" s="6" t="s">
        <v>1345</v>
      </c>
      <c r="F293" s="6" t="n">
        <v>2020</v>
      </c>
      <c r="G293" s="6"/>
      <c r="H293" s="6" t="s">
        <v>1346</v>
      </c>
      <c r="I293" s="6"/>
      <c r="J293" s="6" t="s">
        <v>133</v>
      </c>
      <c r="K293" s="6" t="s">
        <v>77</v>
      </c>
      <c r="L293" s="6"/>
      <c r="M293" s="6"/>
      <c r="N293" s="6"/>
      <c r="O293" s="6"/>
      <c r="P293" s="6"/>
      <c r="Q293" s="6"/>
      <c r="R293" s="6" t="s">
        <v>187</v>
      </c>
    </row>
    <row r="294" customFormat="false" ht="15" hidden="false" customHeight="false" outlineLevel="0" collapsed="false">
      <c r="A294" s="6" t="s">
        <v>1347</v>
      </c>
      <c r="B294" s="6" t="s">
        <v>174</v>
      </c>
      <c r="C294" s="6" t="s">
        <v>63</v>
      </c>
      <c r="D294" s="6" t="s">
        <v>1348</v>
      </c>
      <c r="E294" s="6" t="s">
        <v>1349</v>
      </c>
      <c r="F294" s="6" t="n">
        <v>2022</v>
      </c>
      <c r="G294" s="6"/>
      <c r="H294" s="6" t="s">
        <v>1350</v>
      </c>
      <c r="I294" s="6"/>
      <c r="J294" s="6" t="s">
        <v>120</v>
      </c>
      <c r="K294" s="6"/>
      <c r="L294" s="6" t="s">
        <v>120</v>
      </c>
      <c r="M294" s="6"/>
      <c r="N294" s="6" t="s">
        <v>1351</v>
      </c>
      <c r="O294" s="6" t="s">
        <v>122</v>
      </c>
      <c r="P294" s="6" t="s">
        <v>1352</v>
      </c>
      <c r="Q294" s="6" t="s">
        <v>124</v>
      </c>
      <c r="R294" s="6" t="s">
        <v>1353</v>
      </c>
      <c r="S294" s="6" t="s">
        <v>126</v>
      </c>
    </row>
    <row r="295" customFormat="false" ht="15" hidden="false" customHeight="false" outlineLevel="0" collapsed="false">
      <c r="A295" s="6" t="s">
        <v>1354</v>
      </c>
      <c r="B295" s="6" t="s">
        <v>174</v>
      </c>
      <c r="C295" s="6" t="s">
        <v>63</v>
      </c>
      <c r="D295" s="6" t="s">
        <v>1355</v>
      </c>
      <c r="E295" s="6" t="s">
        <v>1340</v>
      </c>
      <c r="F295" s="6" t="n">
        <v>2013</v>
      </c>
      <c r="G295" s="6"/>
      <c r="H295" s="6" t="s">
        <v>1356</v>
      </c>
      <c r="I295" s="6"/>
      <c r="J295" s="6" t="s">
        <v>133</v>
      </c>
      <c r="K295" s="6" t="s">
        <v>91</v>
      </c>
      <c r="L295" s="6"/>
      <c r="M295" s="6"/>
      <c r="N295" s="6"/>
      <c r="O295" s="6"/>
      <c r="P295" s="6"/>
      <c r="Q295" s="6"/>
      <c r="R295" s="6" t="s">
        <v>1357</v>
      </c>
    </row>
    <row r="296" customFormat="false" ht="15" hidden="false" customHeight="false" outlineLevel="0" collapsed="false">
      <c r="A296" s="6" t="s">
        <v>1358</v>
      </c>
      <c r="B296" s="6" t="s">
        <v>174</v>
      </c>
      <c r="C296" s="6" t="s">
        <v>63</v>
      </c>
      <c r="D296" s="6" t="s">
        <v>1359</v>
      </c>
      <c r="E296" s="6" t="s">
        <v>1360</v>
      </c>
      <c r="F296" s="6" t="n">
        <v>2017</v>
      </c>
      <c r="G296" s="6"/>
      <c r="H296" s="6" t="s">
        <v>1361</v>
      </c>
      <c r="I296" s="6"/>
      <c r="J296" s="6" t="s">
        <v>133</v>
      </c>
      <c r="K296" s="6" t="s">
        <v>91</v>
      </c>
      <c r="L296" s="6"/>
      <c r="M296" s="6"/>
      <c r="N296" s="6"/>
      <c r="O296" s="6"/>
      <c r="P296" s="6"/>
      <c r="Q296" s="6"/>
      <c r="R296" s="6" t="s">
        <v>1362</v>
      </c>
    </row>
    <row r="297" customFormat="false" ht="15" hidden="false" customHeight="false" outlineLevel="0" collapsed="false">
      <c r="A297" s="6" t="s">
        <v>1363</v>
      </c>
      <c r="B297" s="6" t="s">
        <v>174</v>
      </c>
      <c r="C297" s="6" t="s">
        <v>63</v>
      </c>
      <c r="D297" s="6" t="s">
        <v>1364</v>
      </c>
      <c r="E297" s="6" t="s">
        <v>1365</v>
      </c>
      <c r="F297" s="6" t="n">
        <v>2016</v>
      </c>
      <c r="G297" s="6"/>
      <c r="H297" s="6" t="s">
        <v>1366</v>
      </c>
      <c r="I297" s="6"/>
      <c r="J297" s="6" t="s">
        <v>133</v>
      </c>
      <c r="K297" s="6" t="s">
        <v>91</v>
      </c>
      <c r="L297" s="6"/>
      <c r="M297" s="6"/>
      <c r="N297" s="6"/>
      <c r="O297" s="6"/>
      <c r="P297" s="6"/>
      <c r="Q297" s="6"/>
      <c r="R297" s="6" t="s">
        <v>1367</v>
      </c>
    </row>
    <row r="298" customFormat="false" ht="15" hidden="false" customHeight="false" outlineLevel="0" collapsed="false">
      <c r="A298" s="6" t="s">
        <v>1368</v>
      </c>
      <c r="B298" s="6" t="s">
        <v>174</v>
      </c>
      <c r="C298" s="6" t="s">
        <v>63</v>
      </c>
      <c r="D298" s="6" t="s">
        <v>1369</v>
      </c>
      <c r="E298" s="6" t="s">
        <v>1370</v>
      </c>
      <c r="F298" s="6" t="n">
        <v>2017</v>
      </c>
      <c r="G298" s="6"/>
      <c r="H298" s="6" t="s">
        <v>1371</v>
      </c>
      <c r="I298" s="6"/>
      <c r="J298" s="6" t="s">
        <v>133</v>
      </c>
      <c r="K298" s="6" t="s">
        <v>91</v>
      </c>
      <c r="L298" s="6"/>
      <c r="M298" s="6"/>
      <c r="N298" s="6"/>
      <c r="O298" s="6"/>
      <c r="P298" s="6"/>
      <c r="Q298" s="6"/>
      <c r="R298" s="6" t="s">
        <v>1372</v>
      </c>
    </row>
    <row r="299" customFormat="false" ht="15" hidden="false" customHeight="false" outlineLevel="0" collapsed="false">
      <c r="A299" s="6" t="s">
        <v>1373</v>
      </c>
      <c r="B299" s="6" t="s">
        <v>174</v>
      </c>
      <c r="C299" s="6" t="s">
        <v>63</v>
      </c>
      <c r="D299" s="6" t="s">
        <v>1374</v>
      </c>
      <c r="E299" s="6" t="s">
        <v>1375</v>
      </c>
      <c r="F299" s="6" t="n">
        <v>2021</v>
      </c>
      <c r="G299" s="6"/>
      <c r="H299" s="6" t="s">
        <v>1376</v>
      </c>
      <c r="I299" s="6"/>
      <c r="J299" s="6" t="s">
        <v>120</v>
      </c>
      <c r="K299" s="6"/>
      <c r="L299" s="6" t="s">
        <v>120</v>
      </c>
      <c r="M299" s="6"/>
      <c r="N299" s="6" t="s">
        <v>1377</v>
      </c>
      <c r="O299" s="6" t="s">
        <v>1378</v>
      </c>
      <c r="P299" s="6" t="s">
        <v>1379</v>
      </c>
      <c r="Q299" s="6" t="s">
        <v>124</v>
      </c>
      <c r="R299" s="6" t="s">
        <v>1380</v>
      </c>
      <c r="S299" s="6" t="s">
        <v>126</v>
      </c>
    </row>
    <row r="300" customFormat="false" ht="15" hidden="false" customHeight="false" outlineLevel="0" collapsed="false">
      <c r="A300" s="6" t="s">
        <v>1381</v>
      </c>
      <c r="B300" s="6" t="s">
        <v>174</v>
      </c>
      <c r="C300" s="6" t="s">
        <v>63</v>
      </c>
      <c r="D300" s="6" t="s">
        <v>1382</v>
      </c>
      <c r="E300" s="6" t="s">
        <v>1383</v>
      </c>
      <c r="F300" s="6" t="n">
        <v>2019</v>
      </c>
      <c r="G300" s="6"/>
      <c r="H300" s="6" t="s">
        <v>1384</v>
      </c>
      <c r="I300" s="6"/>
      <c r="J300" s="6" t="s">
        <v>133</v>
      </c>
      <c r="K300" s="6" t="s">
        <v>91</v>
      </c>
      <c r="L300" s="6"/>
      <c r="M300" s="6"/>
      <c r="N300" s="6"/>
      <c r="O300" s="6"/>
      <c r="P300" s="6"/>
      <c r="Q300" s="6"/>
      <c r="R300" s="6" t="s">
        <v>1385</v>
      </c>
    </row>
    <row r="301" customFormat="false" ht="15" hidden="false" customHeight="false" outlineLevel="0" collapsed="false">
      <c r="A301" s="6" t="s">
        <v>1386</v>
      </c>
      <c r="B301" s="6" t="s">
        <v>174</v>
      </c>
      <c r="C301" s="6" t="s">
        <v>63</v>
      </c>
      <c r="D301" s="6" t="s">
        <v>1387</v>
      </c>
      <c r="E301" s="6" t="s">
        <v>1388</v>
      </c>
      <c r="F301" s="6" t="n">
        <v>2019</v>
      </c>
      <c r="G301" s="6"/>
      <c r="H301" s="6" t="s">
        <v>1389</v>
      </c>
      <c r="I301" s="6"/>
      <c r="J301" s="6" t="s">
        <v>120</v>
      </c>
      <c r="K301" s="6"/>
      <c r="L301" s="6" t="s">
        <v>120</v>
      </c>
      <c r="M301" s="6"/>
      <c r="N301" s="6" t="s">
        <v>1390</v>
      </c>
      <c r="O301" s="6" t="s">
        <v>1391</v>
      </c>
      <c r="P301" s="6" t="s">
        <v>1392</v>
      </c>
      <c r="Q301" s="6" t="s">
        <v>124</v>
      </c>
      <c r="R301" s="6" t="s">
        <v>1393</v>
      </c>
      <c r="S301" s="6" t="s">
        <v>126</v>
      </c>
    </row>
    <row r="302" customFormat="false" ht="15" hidden="false" customHeight="false" outlineLevel="0" collapsed="false">
      <c r="A302" s="6" t="s">
        <v>1394</v>
      </c>
      <c r="B302" s="6" t="s">
        <v>174</v>
      </c>
      <c r="C302" s="6" t="s">
        <v>63</v>
      </c>
      <c r="D302" s="6" t="s">
        <v>1395</v>
      </c>
      <c r="E302" s="6" t="s">
        <v>1396</v>
      </c>
      <c r="F302" s="6" t="n">
        <v>2012</v>
      </c>
      <c r="G302" s="6"/>
      <c r="H302" s="6" t="s">
        <v>1397</v>
      </c>
      <c r="I302" s="6"/>
      <c r="J302" s="6" t="s">
        <v>133</v>
      </c>
      <c r="K302" s="6" t="s">
        <v>79</v>
      </c>
      <c r="L302" s="6"/>
      <c r="M302" s="6"/>
      <c r="N302" s="6"/>
      <c r="O302" s="6"/>
      <c r="P302" s="6"/>
      <c r="Q302" s="6"/>
      <c r="R302" s="6" t="s">
        <v>1205</v>
      </c>
    </row>
    <row r="303" customFormat="false" ht="15" hidden="false" customHeight="false" outlineLevel="0" collapsed="false">
      <c r="A303" s="6" t="s">
        <v>1398</v>
      </c>
      <c r="B303" s="6" t="s">
        <v>174</v>
      </c>
      <c r="C303" s="6" t="s">
        <v>63</v>
      </c>
      <c r="D303" s="6" t="s">
        <v>1399</v>
      </c>
      <c r="E303" s="6" t="s">
        <v>1400</v>
      </c>
      <c r="F303" s="6" t="n">
        <v>2018</v>
      </c>
      <c r="G303" s="6"/>
      <c r="H303" s="6" t="s">
        <v>1401</v>
      </c>
      <c r="I303" s="6"/>
      <c r="J303" s="6" t="s">
        <v>133</v>
      </c>
      <c r="K303" s="6" t="s">
        <v>79</v>
      </c>
      <c r="L303" s="6"/>
      <c r="M303" s="6"/>
      <c r="N303" s="6"/>
      <c r="O303" s="6"/>
      <c r="P303" s="6"/>
      <c r="Q303" s="6"/>
      <c r="R303" s="6" t="s">
        <v>1205</v>
      </c>
    </row>
    <row r="304" customFormat="false" ht="15" hidden="false" customHeight="false" outlineLevel="0" collapsed="false">
      <c r="A304" s="6" t="s">
        <v>1402</v>
      </c>
      <c r="B304" s="6" t="s">
        <v>174</v>
      </c>
      <c r="C304" s="6" t="s">
        <v>63</v>
      </c>
      <c r="D304" s="6" t="s">
        <v>1403</v>
      </c>
      <c r="E304" s="6" t="s">
        <v>1404</v>
      </c>
      <c r="F304" s="6" t="n">
        <v>2021</v>
      </c>
      <c r="G304" s="6"/>
      <c r="H304" s="6" t="s">
        <v>1405</v>
      </c>
      <c r="I304" s="6"/>
      <c r="J304" s="6" t="s">
        <v>120</v>
      </c>
      <c r="K304" s="6"/>
      <c r="L304" s="6" t="s">
        <v>120</v>
      </c>
      <c r="M304" s="6"/>
      <c r="N304" s="6" t="s">
        <v>1406</v>
      </c>
      <c r="O304" s="6" t="s">
        <v>135</v>
      </c>
      <c r="P304" s="6" t="s">
        <v>1407</v>
      </c>
      <c r="Q304" s="6" t="s">
        <v>124</v>
      </c>
      <c r="R304" s="6" t="s">
        <v>1408</v>
      </c>
      <c r="S304" s="6" t="s">
        <v>182</v>
      </c>
    </row>
    <row r="305" customFormat="false" ht="15" hidden="false" customHeight="false" outlineLevel="0" collapsed="false">
      <c r="A305" s="6" t="s">
        <v>1409</v>
      </c>
      <c r="B305" s="6" t="s">
        <v>174</v>
      </c>
      <c r="C305" s="6" t="s">
        <v>63</v>
      </c>
      <c r="D305" s="6" t="s">
        <v>1410</v>
      </c>
      <c r="E305" s="6" t="s">
        <v>1411</v>
      </c>
      <c r="F305" s="6" t="n">
        <v>2021</v>
      </c>
      <c r="G305" s="6"/>
      <c r="H305" s="6" t="s">
        <v>1412</v>
      </c>
      <c r="I305" s="6"/>
      <c r="J305" s="6" t="s">
        <v>152</v>
      </c>
      <c r="K305" s="6"/>
      <c r="L305" s="6" t="s">
        <v>120</v>
      </c>
      <c r="M305" s="6"/>
      <c r="N305" s="6" t="s">
        <v>1413</v>
      </c>
      <c r="O305" s="6" t="s">
        <v>272</v>
      </c>
      <c r="P305" s="6" t="s">
        <v>1414</v>
      </c>
      <c r="Q305" s="6" t="s">
        <v>124</v>
      </c>
      <c r="R305" s="6" t="s">
        <v>1415</v>
      </c>
      <c r="S305" s="6" t="s">
        <v>182</v>
      </c>
    </row>
    <row r="306" customFormat="false" ht="15" hidden="false" customHeight="false" outlineLevel="0" collapsed="false">
      <c r="A306" s="6" t="s">
        <v>1416</v>
      </c>
      <c r="B306" s="6" t="s">
        <v>174</v>
      </c>
      <c r="C306" s="6" t="s">
        <v>63</v>
      </c>
      <c r="D306" s="6" t="s">
        <v>1417</v>
      </c>
      <c r="E306" s="6" t="s">
        <v>1418</v>
      </c>
      <c r="F306" s="6" t="n">
        <v>2023</v>
      </c>
      <c r="G306" s="6"/>
      <c r="H306" s="6" t="s">
        <v>1419</v>
      </c>
      <c r="I306" s="6"/>
      <c r="J306" s="6" t="s">
        <v>120</v>
      </c>
      <c r="K306" s="6"/>
      <c r="L306" s="6" t="s">
        <v>133</v>
      </c>
      <c r="M306" s="6" t="s">
        <v>91</v>
      </c>
      <c r="N306" s="6" t="s">
        <v>1420</v>
      </c>
      <c r="O306" s="6" t="s">
        <v>115</v>
      </c>
      <c r="P306" s="6" t="s">
        <v>1421</v>
      </c>
      <c r="Q306" s="6" t="s">
        <v>124</v>
      </c>
      <c r="R306" s="6" t="s">
        <v>1422</v>
      </c>
      <c r="S306" s="6" t="s">
        <v>126</v>
      </c>
    </row>
    <row r="307" customFormat="false" ht="15" hidden="false" customHeight="false" outlineLevel="0" collapsed="false">
      <c r="A307" s="6" t="s">
        <v>1423</v>
      </c>
      <c r="B307" s="6" t="s">
        <v>174</v>
      </c>
      <c r="C307" s="6" t="s">
        <v>63</v>
      </c>
      <c r="D307" s="6" t="s">
        <v>1424</v>
      </c>
      <c r="E307" s="6" t="s">
        <v>1425</v>
      </c>
      <c r="F307" s="6" t="n">
        <v>2024</v>
      </c>
      <c r="G307" s="6"/>
      <c r="H307" s="6" t="s">
        <v>1426</v>
      </c>
      <c r="I307" s="6"/>
      <c r="J307" s="6" t="s">
        <v>120</v>
      </c>
      <c r="K307" s="6"/>
      <c r="L307" s="6" t="s">
        <v>120</v>
      </c>
      <c r="M307" s="6"/>
      <c r="N307" s="6" t="s">
        <v>1427</v>
      </c>
      <c r="O307" s="6" t="s">
        <v>1428</v>
      </c>
      <c r="P307" s="6" t="s">
        <v>1429</v>
      </c>
      <c r="Q307" s="6" t="s">
        <v>124</v>
      </c>
      <c r="R307" s="6" t="s">
        <v>1430</v>
      </c>
      <c r="S307" s="6" t="s">
        <v>182</v>
      </c>
    </row>
    <row r="308" customFormat="false" ht="15" hidden="false" customHeight="false" outlineLevel="0" collapsed="false">
      <c r="A308" s="6" t="s">
        <v>1431</v>
      </c>
      <c r="B308" s="6" t="s">
        <v>174</v>
      </c>
      <c r="C308" s="6" t="s">
        <v>63</v>
      </c>
      <c r="D308" s="6" t="s">
        <v>1432</v>
      </c>
      <c r="E308" s="6" t="s">
        <v>1433</v>
      </c>
      <c r="F308" s="6" t="n">
        <v>2025</v>
      </c>
      <c r="G308" s="6"/>
      <c r="H308" s="6"/>
      <c r="I308" s="6"/>
      <c r="J308" s="6" t="s">
        <v>133</v>
      </c>
      <c r="K308" s="6" t="s">
        <v>89</v>
      </c>
      <c r="L308" s="6"/>
      <c r="M308" s="6"/>
      <c r="N308" s="6"/>
      <c r="O308" s="6"/>
      <c r="P308" s="6"/>
      <c r="Q308" s="6"/>
      <c r="R308" s="6" t="s">
        <v>247</v>
      </c>
    </row>
    <row r="309" customFormat="false" ht="15" hidden="false" customHeight="false" outlineLevel="0" collapsed="false">
      <c r="A309" s="6" t="s">
        <v>1434</v>
      </c>
      <c r="B309" s="6" t="s">
        <v>174</v>
      </c>
      <c r="C309" s="6" t="s">
        <v>63</v>
      </c>
      <c r="D309" s="6" t="s">
        <v>1435</v>
      </c>
      <c r="E309" s="6" t="s">
        <v>1436</v>
      </c>
      <c r="F309" s="6" t="n">
        <v>2021</v>
      </c>
      <c r="G309" s="6"/>
      <c r="H309" s="6" t="s">
        <v>1437</v>
      </c>
      <c r="I309" s="6"/>
      <c r="J309" s="6" t="s">
        <v>133</v>
      </c>
      <c r="K309" s="6" t="s">
        <v>91</v>
      </c>
      <c r="L309" s="6"/>
      <c r="M309" s="6"/>
      <c r="N309" s="6"/>
      <c r="O309" s="6"/>
      <c r="P309" s="6"/>
      <c r="Q309" s="6"/>
      <c r="R309" s="6" t="s">
        <v>1438</v>
      </c>
    </row>
    <row r="310" customFormat="false" ht="15" hidden="false" customHeight="false" outlineLevel="0" collapsed="false">
      <c r="A310" s="6" t="s">
        <v>1439</v>
      </c>
      <c r="B310" s="6" t="s">
        <v>174</v>
      </c>
      <c r="C310" s="6" t="s">
        <v>63</v>
      </c>
      <c r="D310" s="6" t="s">
        <v>1440</v>
      </c>
      <c r="E310" s="6" t="s">
        <v>1441</v>
      </c>
      <c r="F310" s="6" t="n">
        <v>2021</v>
      </c>
      <c r="G310" s="6"/>
      <c r="H310" s="6"/>
      <c r="I310" s="6"/>
      <c r="J310" s="6" t="s">
        <v>133</v>
      </c>
      <c r="K310" s="6" t="s">
        <v>89</v>
      </c>
      <c r="L310" s="6"/>
      <c r="M310" s="6"/>
      <c r="N310" s="6"/>
      <c r="O310" s="6"/>
      <c r="P310" s="6"/>
      <c r="Q310" s="6"/>
      <c r="R310" s="6" t="s">
        <v>247</v>
      </c>
    </row>
    <row r="311" customFormat="false" ht="15" hidden="false" customHeight="false" outlineLevel="0" collapsed="false">
      <c r="A311" s="6" t="s">
        <v>1442</v>
      </c>
      <c r="B311" s="6" t="s">
        <v>174</v>
      </c>
      <c r="C311" s="6" t="s">
        <v>63</v>
      </c>
      <c r="D311" s="6" t="s">
        <v>1443</v>
      </c>
      <c r="E311" s="6" t="s">
        <v>1444</v>
      </c>
      <c r="F311" s="6" t="n">
        <v>2026</v>
      </c>
      <c r="G311" s="6"/>
      <c r="H311" s="6" t="s">
        <v>1445</v>
      </c>
      <c r="I311" s="6"/>
      <c r="J311" s="6" t="s">
        <v>120</v>
      </c>
      <c r="K311" s="6"/>
      <c r="L311" s="6" t="s">
        <v>133</v>
      </c>
      <c r="M311" s="6" t="s">
        <v>89</v>
      </c>
      <c r="N311" s="6" t="s">
        <v>1446</v>
      </c>
      <c r="O311" s="6" t="s">
        <v>122</v>
      </c>
      <c r="P311" s="6" t="s">
        <v>115</v>
      </c>
      <c r="Q311" s="6" t="s">
        <v>124</v>
      </c>
      <c r="R311" s="6" t="s">
        <v>1447</v>
      </c>
      <c r="S311" s="6" t="s">
        <v>126</v>
      </c>
    </row>
    <row r="312" customFormat="false" ht="15" hidden="false" customHeight="false" outlineLevel="0" collapsed="false">
      <c r="A312" s="6" t="s">
        <v>1448</v>
      </c>
      <c r="B312" s="6" t="s">
        <v>174</v>
      </c>
      <c r="C312" s="6" t="s">
        <v>63</v>
      </c>
      <c r="D312" s="6" t="s">
        <v>1449</v>
      </c>
      <c r="E312" s="6" t="s">
        <v>1450</v>
      </c>
      <c r="F312" s="6" t="n">
        <v>2018</v>
      </c>
      <c r="G312" s="6"/>
      <c r="H312" s="6" t="s">
        <v>1451</v>
      </c>
      <c r="I312" s="6"/>
      <c r="J312" s="6" t="s">
        <v>133</v>
      </c>
      <c r="K312" s="6" t="s">
        <v>91</v>
      </c>
      <c r="L312" s="6"/>
      <c r="M312" s="6"/>
      <c r="N312" s="6"/>
      <c r="O312" s="6"/>
      <c r="P312" s="6"/>
      <c r="Q312" s="6"/>
      <c r="R312" s="6" t="s">
        <v>1452</v>
      </c>
    </row>
    <row r="313" customFormat="false" ht="15" hidden="false" customHeight="false" outlineLevel="0" collapsed="false">
      <c r="A313" s="6" t="s">
        <v>1453</v>
      </c>
      <c r="B313" s="6" t="s">
        <v>174</v>
      </c>
      <c r="C313" s="6" t="s">
        <v>63</v>
      </c>
      <c r="D313" s="6" t="s">
        <v>1454</v>
      </c>
      <c r="E313" s="6" t="s">
        <v>1455</v>
      </c>
      <c r="F313" s="6" t="n">
        <v>2024</v>
      </c>
      <c r="G313" s="6"/>
      <c r="H313" s="6" t="s">
        <v>1456</v>
      </c>
      <c r="I313" s="6"/>
      <c r="J313" s="6" t="s">
        <v>133</v>
      </c>
      <c r="K313" s="6" t="s">
        <v>91</v>
      </c>
      <c r="L313" s="6"/>
      <c r="M313" s="6"/>
      <c r="N313" s="6"/>
      <c r="O313" s="6"/>
      <c r="P313" s="6"/>
      <c r="Q313" s="6"/>
      <c r="R313" s="6" t="s">
        <v>1457</v>
      </c>
    </row>
    <row r="314" customFormat="false" ht="15" hidden="false" customHeight="false" outlineLevel="0" collapsed="false">
      <c r="A314" s="6" t="s">
        <v>1458</v>
      </c>
      <c r="B314" s="6" t="s">
        <v>174</v>
      </c>
      <c r="C314" s="6" t="s">
        <v>63</v>
      </c>
      <c r="D314" s="6" t="s">
        <v>1459</v>
      </c>
      <c r="E314" s="6" t="s">
        <v>1460</v>
      </c>
      <c r="F314" s="6" t="n">
        <v>2025</v>
      </c>
      <c r="G314" s="6"/>
      <c r="H314" s="6" t="s">
        <v>1461</v>
      </c>
      <c r="I314" s="6"/>
      <c r="J314" s="6" t="s">
        <v>133</v>
      </c>
      <c r="K314" s="6" t="s">
        <v>77</v>
      </c>
      <c r="L314" s="6"/>
      <c r="M314" s="6"/>
      <c r="N314" s="6"/>
      <c r="O314" s="6"/>
      <c r="P314" s="6"/>
      <c r="Q314" s="6"/>
      <c r="R314" s="6" t="s">
        <v>187</v>
      </c>
    </row>
    <row r="315" customFormat="false" ht="15" hidden="false" customHeight="false" outlineLevel="0" collapsed="false">
      <c r="A315" s="6" t="s">
        <v>1462</v>
      </c>
      <c r="B315" s="6" t="s">
        <v>174</v>
      </c>
      <c r="C315" s="6" t="s">
        <v>63</v>
      </c>
      <c r="D315" s="6" t="s">
        <v>1463</v>
      </c>
      <c r="E315" s="6" t="s">
        <v>1464</v>
      </c>
      <c r="F315" s="6" t="n">
        <v>2026</v>
      </c>
      <c r="G315" s="6"/>
      <c r="H315" s="6"/>
      <c r="I315" s="6"/>
      <c r="J315" s="6" t="s">
        <v>133</v>
      </c>
      <c r="K315" s="6" t="s">
        <v>81</v>
      </c>
      <c r="L315" s="6"/>
      <c r="M315" s="6"/>
      <c r="N315" s="6"/>
      <c r="O315" s="6"/>
      <c r="P315" s="6"/>
      <c r="Q315" s="6"/>
      <c r="R315" s="6" t="s">
        <v>975</v>
      </c>
    </row>
    <row r="316" customFormat="false" ht="15" hidden="false" customHeight="false" outlineLevel="0" collapsed="false">
      <c r="A316" s="6" t="s">
        <v>1465</v>
      </c>
      <c r="B316" s="6" t="s">
        <v>174</v>
      </c>
      <c r="C316" s="6" t="s">
        <v>63</v>
      </c>
      <c r="D316" s="6" t="s">
        <v>1466</v>
      </c>
      <c r="E316" s="6" t="s">
        <v>1467</v>
      </c>
      <c r="F316" s="6" t="n">
        <v>2025</v>
      </c>
      <c r="G316" s="6"/>
      <c r="H316" s="6" t="s">
        <v>1468</v>
      </c>
      <c r="I316" s="6"/>
      <c r="J316" s="6" t="s">
        <v>133</v>
      </c>
      <c r="K316" s="6" t="s">
        <v>91</v>
      </c>
      <c r="L316" s="6"/>
      <c r="M316" s="6"/>
      <c r="N316" s="6"/>
      <c r="O316" s="6"/>
      <c r="P316" s="6"/>
      <c r="Q316" s="6"/>
      <c r="R316" s="6" t="s">
        <v>1469</v>
      </c>
    </row>
    <row r="317" customFormat="false" ht="15" hidden="false" customHeight="false" outlineLevel="0" collapsed="false">
      <c r="A317" s="6" t="s">
        <v>1470</v>
      </c>
      <c r="B317" s="6" t="s">
        <v>174</v>
      </c>
      <c r="C317" s="6" t="s">
        <v>63</v>
      </c>
      <c r="D317" s="6" t="s">
        <v>1471</v>
      </c>
      <c r="E317" s="6" t="s">
        <v>1472</v>
      </c>
      <c r="F317" s="6" t="n">
        <v>2018</v>
      </c>
      <c r="G317" s="6"/>
      <c r="H317" s="6"/>
      <c r="I317" s="6"/>
      <c r="J317" s="6" t="s">
        <v>133</v>
      </c>
      <c r="K317" s="6" t="s">
        <v>79</v>
      </c>
      <c r="L317" s="6"/>
      <c r="M317" s="6"/>
      <c r="N317" s="6"/>
      <c r="O317" s="6"/>
      <c r="P317" s="6"/>
      <c r="Q317" s="6"/>
      <c r="R317" s="6" t="s">
        <v>1205</v>
      </c>
    </row>
    <row r="318" customFormat="false" ht="15" hidden="false" customHeight="false" outlineLevel="0" collapsed="false">
      <c r="A318" s="6" t="s">
        <v>1473</v>
      </c>
      <c r="B318" s="6" t="s">
        <v>174</v>
      </c>
      <c r="C318" s="6" t="s">
        <v>63</v>
      </c>
      <c r="D318" s="6" t="s">
        <v>1474</v>
      </c>
      <c r="E318" s="6" t="s">
        <v>1475</v>
      </c>
      <c r="F318" s="6" t="n">
        <v>2016</v>
      </c>
      <c r="G318" s="6"/>
      <c r="H318" s="6" t="s">
        <v>1476</v>
      </c>
      <c r="I318" s="6"/>
      <c r="J318" s="6" t="s">
        <v>133</v>
      </c>
      <c r="K318" s="6" t="s">
        <v>91</v>
      </c>
      <c r="L318" s="6"/>
      <c r="M318" s="6"/>
      <c r="N318" s="6"/>
      <c r="O318" s="6"/>
      <c r="P318" s="6"/>
      <c r="Q318" s="6"/>
      <c r="R318" s="6" t="s">
        <v>1477</v>
      </c>
    </row>
    <row r="319" customFormat="false" ht="15" hidden="false" customHeight="false" outlineLevel="0" collapsed="false">
      <c r="A319" s="6" t="s">
        <v>1478</v>
      </c>
      <c r="B319" s="6" t="s">
        <v>174</v>
      </c>
      <c r="C319" s="6" t="s">
        <v>63</v>
      </c>
      <c r="D319" s="6" t="s">
        <v>1479</v>
      </c>
      <c r="E319" s="6" t="s">
        <v>1480</v>
      </c>
      <c r="F319" s="6" t="n">
        <v>2020</v>
      </c>
      <c r="G319" s="6"/>
      <c r="H319" s="6" t="s">
        <v>1481</v>
      </c>
      <c r="I319" s="6"/>
      <c r="J319" s="6" t="s">
        <v>133</v>
      </c>
      <c r="K319" s="6" t="s">
        <v>79</v>
      </c>
      <c r="L319" s="6"/>
      <c r="M319" s="6"/>
      <c r="N319" s="6"/>
      <c r="O319" s="6"/>
      <c r="P319" s="6"/>
      <c r="Q319" s="6"/>
      <c r="R319" s="6" t="s">
        <v>1205</v>
      </c>
    </row>
    <row r="320" customFormat="false" ht="15" hidden="false" customHeight="false" outlineLevel="0" collapsed="false">
      <c r="A320" s="6" t="s">
        <v>1482</v>
      </c>
      <c r="B320" s="6" t="s">
        <v>174</v>
      </c>
      <c r="C320" s="6" t="s">
        <v>63</v>
      </c>
      <c r="D320" s="6" t="s">
        <v>1483</v>
      </c>
      <c r="E320" s="6" t="s">
        <v>1464</v>
      </c>
      <c r="F320" s="6" t="n">
        <v>2026</v>
      </c>
      <c r="G320" s="6"/>
      <c r="H320" s="6" t="s">
        <v>1484</v>
      </c>
      <c r="I320" s="6"/>
      <c r="J320" s="6" t="s">
        <v>120</v>
      </c>
      <c r="K320" s="6"/>
      <c r="L320" s="6" t="s">
        <v>120</v>
      </c>
      <c r="M320" s="6"/>
      <c r="N320" s="6" t="s">
        <v>1485</v>
      </c>
      <c r="O320" s="6" t="s">
        <v>179</v>
      </c>
      <c r="P320" s="6" t="s">
        <v>1486</v>
      </c>
      <c r="Q320" s="6" t="s">
        <v>124</v>
      </c>
      <c r="R320" s="6" t="s">
        <v>1487</v>
      </c>
      <c r="S320" s="6" t="s">
        <v>182</v>
      </c>
    </row>
    <row r="321" customFormat="false" ht="15" hidden="false" customHeight="false" outlineLevel="0" collapsed="false">
      <c r="A321" s="6" t="s">
        <v>1488</v>
      </c>
      <c r="B321" s="6" t="s">
        <v>174</v>
      </c>
      <c r="C321" s="6" t="s">
        <v>63</v>
      </c>
      <c r="D321" s="6" t="s">
        <v>1489</v>
      </c>
      <c r="E321" s="6" t="s">
        <v>1490</v>
      </c>
      <c r="F321" s="6" t="n">
        <v>2017</v>
      </c>
      <c r="G321" s="6"/>
      <c r="H321" s="6" t="s">
        <v>1491</v>
      </c>
      <c r="I321" s="6"/>
      <c r="J321" s="6" t="s">
        <v>133</v>
      </c>
      <c r="K321" s="6" t="s">
        <v>91</v>
      </c>
      <c r="L321" s="6"/>
      <c r="M321" s="6"/>
      <c r="N321" s="6"/>
      <c r="O321" s="6"/>
      <c r="P321" s="6"/>
      <c r="Q321" s="6"/>
      <c r="R321" s="6" t="s">
        <v>1492</v>
      </c>
    </row>
    <row r="322" customFormat="false" ht="15" hidden="false" customHeight="false" outlineLevel="0" collapsed="false">
      <c r="A322" s="6" t="s">
        <v>1493</v>
      </c>
      <c r="B322" s="6" t="s">
        <v>174</v>
      </c>
      <c r="C322" s="6" t="s">
        <v>63</v>
      </c>
      <c r="D322" s="6" t="s">
        <v>1494</v>
      </c>
      <c r="E322" s="6" t="s">
        <v>1495</v>
      </c>
      <c r="F322" s="6" t="n">
        <v>2020</v>
      </c>
      <c r="G322" s="6"/>
      <c r="H322" s="6"/>
      <c r="I322" s="6"/>
      <c r="J322" s="6" t="s">
        <v>133</v>
      </c>
      <c r="K322" s="6" t="s">
        <v>89</v>
      </c>
      <c r="L322" s="6"/>
      <c r="M322" s="6"/>
      <c r="N322" s="6"/>
      <c r="O322" s="6"/>
      <c r="P322" s="6"/>
      <c r="Q322" s="6"/>
      <c r="R322" s="6" t="s">
        <v>247</v>
      </c>
    </row>
    <row r="323" customFormat="false" ht="15" hidden="false" customHeight="false" outlineLevel="0" collapsed="false">
      <c r="A323" s="6" t="s">
        <v>1496</v>
      </c>
      <c r="B323" s="6" t="s">
        <v>174</v>
      </c>
      <c r="C323" s="6" t="s">
        <v>63</v>
      </c>
      <c r="D323" s="6" t="s">
        <v>1497</v>
      </c>
      <c r="E323" s="6" t="s">
        <v>1498</v>
      </c>
      <c r="F323" s="6" t="n">
        <v>2026</v>
      </c>
      <c r="G323" s="6"/>
      <c r="H323" s="6" t="s">
        <v>1499</v>
      </c>
      <c r="I323" s="6"/>
      <c r="J323" s="6" t="s">
        <v>133</v>
      </c>
      <c r="K323" s="6" t="s">
        <v>89</v>
      </c>
      <c r="L323" s="6"/>
      <c r="M323" s="6"/>
      <c r="N323" s="6"/>
      <c r="O323" s="6"/>
      <c r="P323" s="6"/>
      <c r="Q323" s="6"/>
      <c r="R323" s="6" t="s">
        <v>247</v>
      </c>
    </row>
    <row r="324" customFormat="false" ht="15" hidden="false" customHeight="false" outlineLevel="0" collapsed="false">
      <c r="A324" s="6" t="s">
        <v>1500</v>
      </c>
      <c r="B324" s="6" t="s">
        <v>174</v>
      </c>
      <c r="C324" s="6" t="s">
        <v>63</v>
      </c>
      <c r="D324" s="6" t="s">
        <v>1501</v>
      </c>
      <c r="E324" s="6" t="s">
        <v>1502</v>
      </c>
      <c r="F324" s="6" t="n">
        <v>2026</v>
      </c>
      <c r="G324" s="6"/>
      <c r="H324" s="6" t="s">
        <v>1503</v>
      </c>
      <c r="I324" s="6"/>
      <c r="J324" s="6" t="s">
        <v>152</v>
      </c>
      <c r="K324" s="6"/>
      <c r="L324" s="6" t="s">
        <v>120</v>
      </c>
      <c r="M324" s="6"/>
      <c r="N324" s="6" t="s">
        <v>1504</v>
      </c>
      <c r="O324" s="6" t="s">
        <v>1505</v>
      </c>
      <c r="P324" s="6" t="s">
        <v>1506</v>
      </c>
      <c r="Q324" s="6" t="s">
        <v>124</v>
      </c>
      <c r="R324" s="6" t="s">
        <v>1507</v>
      </c>
      <c r="S324" s="6" t="s">
        <v>126</v>
      </c>
    </row>
    <row r="325" customFormat="false" ht="15" hidden="false" customHeight="false" outlineLevel="0" collapsed="false">
      <c r="A325" s="6" t="s">
        <v>1508</v>
      </c>
      <c r="B325" s="6" t="s">
        <v>174</v>
      </c>
      <c r="C325" s="6" t="s">
        <v>63</v>
      </c>
      <c r="D325" s="6" t="s">
        <v>1509</v>
      </c>
      <c r="E325" s="6" t="s">
        <v>1510</v>
      </c>
      <c r="F325" s="6" t="n">
        <v>2016</v>
      </c>
      <c r="G325" s="6"/>
      <c r="H325" s="6" t="s">
        <v>1511</v>
      </c>
      <c r="I325" s="6"/>
      <c r="J325" s="6" t="s">
        <v>152</v>
      </c>
      <c r="K325" s="6"/>
      <c r="L325" s="6" t="s">
        <v>120</v>
      </c>
      <c r="M325" s="6"/>
      <c r="N325" s="6" t="s">
        <v>1512</v>
      </c>
      <c r="O325" s="6" t="s">
        <v>122</v>
      </c>
      <c r="P325" s="6" t="s">
        <v>1513</v>
      </c>
      <c r="Q325" s="6" t="s">
        <v>124</v>
      </c>
      <c r="R325" s="6" t="s">
        <v>1514</v>
      </c>
      <c r="S325" s="6" t="s">
        <v>182</v>
      </c>
    </row>
    <row r="326" customFormat="false" ht="15" hidden="false" customHeight="false" outlineLevel="0" collapsed="false">
      <c r="A326" s="6" t="s">
        <v>1515</v>
      </c>
      <c r="B326" s="6" t="s">
        <v>174</v>
      </c>
      <c r="C326" s="6" t="s">
        <v>63</v>
      </c>
      <c r="D326" s="6" t="s">
        <v>1516</v>
      </c>
      <c r="E326" s="6" t="s">
        <v>1517</v>
      </c>
      <c r="F326" s="6" t="n">
        <v>2026</v>
      </c>
      <c r="G326" s="6"/>
      <c r="H326" s="6" t="s">
        <v>1518</v>
      </c>
      <c r="I326" s="6"/>
      <c r="J326" s="6" t="s">
        <v>133</v>
      </c>
      <c r="K326" s="6" t="s">
        <v>77</v>
      </c>
      <c r="L326" s="6"/>
      <c r="M326" s="6"/>
      <c r="N326" s="6"/>
      <c r="O326" s="6"/>
      <c r="P326" s="6"/>
      <c r="Q326" s="6"/>
      <c r="R326" s="6" t="s">
        <v>187</v>
      </c>
    </row>
    <row r="327" customFormat="false" ht="15" hidden="false" customHeight="false" outlineLevel="0" collapsed="false">
      <c r="A327" s="6" t="s">
        <v>1519</v>
      </c>
      <c r="B327" s="6" t="s">
        <v>174</v>
      </c>
      <c r="C327" s="6" t="s">
        <v>63</v>
      </c>
      <c r="D327" s="6" t="s">
        <v>1520</v>
      </c>
      <c r="E327" s="6" t="s">
        <v>1521</v>
      </c>
      <c r="F327" s="6" t="n">
        <v>2019</v>
      </c>
      <c r="G327" s="6"/>
      <c r="H327" s="6" t="s">
        <v>1522</v>
      </c>
      <c r="I327" s="6"/>
      <c r="J327" s="6" t="s">
        <v>120</v>
      </c>
      <c r="K327" s="6"/>
      <c r="L327" s="6" t="s">
        <v>120</v>
      </c>
      <c r="M327" s="6"/>
      <c r="N327" s="6" t="s">
        <v>1523</v>
      </c>
      <c r="O327" s="6" t="s">
        <v>122</v>
      </c>
      <c r="P327" s="6" t="s">
        <v>1524</v>
      </c>
      <c r="Q327" s="6" t="s">
        <v>124</v>
      </c>
      <c r="R327" s="6" t="s">
        <v>1525</v>
      </c>
      <c r="S327" s="6" t="s">
        <v>126</v>
      </c>
    </row>
    <row r="328" customFormat="false" ht="15" hidden="false" customHeight="false" outlineLevel="0" collapsed="false">
      <c r="A328" s="6" t="s">
        <v>1526</v>
      </c>
      <c r="B328" s="6" t="s">
        <v>174</v>
      </c>
      <c r="C328" s="6" t="s">
        <v>63</v>
      </c>
      <c r="D328" s="6" t="s">
        <v>1527</v>
      </c>
      <c r="E328" s="6" t="s">
        <v>1183</v>
      </c>
      <c r="F328" s="6" t="n">
        <v>2026</v>
      </c>
      <c r="G328" s="6"/>
      <c r="H328" s="6" t="s">
        <v>1528</v>
      </c>
      <c r="I328" s="6"/>
      <c r="J328" s="6" t="s">
        <v>133</v>
      </c>
      <c r="K328" s="6" t="s">
        <v>89</v>
      </c>
      <c r="L328" s="6"/>
      <c r="M328" s="6"/>
      <c r="N328" s="6"/>
      <c r="O328" s="6"/>
      <c r="P328" s="6"/>
      <c r="Q328" s="6"/>
      <c r="R328" s="6" t="s">
        <v>247</v>
      </c>
    </row>
    <row r="329" customFormat="false" ht="15" hidden="false" customHeight="false" outlineLevel="0" collapsed="false">
      <c r="A329" s="6" t="s">
        <v>1529</v>
      </c>
      <c r="B329" s="6" t="s">
        <v>174</v>
      </c>
      <c r="C329" s="6" t="s">
        <v>63</v>
      </c>
      <c r="D329" s="6" t="s">
        <v>1530</v>
      </c>
      <c r="E329" s="6" t="s">
        <v>1531</v>
      </c>
      <c r="F329" s="6" t="n">
        <v>2026</v>
      </c>
      <c r="G329" s="6"/>
      <c r="H329" s="6" t="s">
        <v>1532</v>
      </c>
      <c r="I329" s="6"/>
      <c r="J329" s="6" t="s">
        <v>133</v>
      </c>
      <c r="K329" s="6" t="s">
        <v>79</v>
      </c>
      <c r="L329" s="6"/>
      <c r="M329" s="6"/>
      <c r="N329" s="6"/>
      <c r="O329" s="6"/>
      <c r="P329" s="6"/>
      <c r="Q329" s="6"/>
      <c r="R329" s="6" t="s">
        <v>1205</v>
      </c>
    </row>
    <row r="330" customFormat="false" ht="15" hidden="false" customHeight="false" outlineLevel="0" collapsed="false">
      <c r="A330" s="6" t="s">
        <v>1533</v>
      </c>
      <c r="B330" s="6" t="s">
        <v>174</v>
      </c>
      <c r="C330" s="6" t="s">
        <v>63</v>
      </c>
      <c r="D330" s="6" t="s">
        <v>1534</v>
      </c>
      <c r="E330" s="6" t="s">
        <v>1535</v>
      </c>
      <c r="F330" s="6" t="n">
        <v>2026</v>
      </c>
      <c r="G330" s="6"/>
      <c r="H330" s="6" t="s">
        <v>1536</v>
      </c>
      <c r="I330" s="6"/>
      <c r="J330" s="6" t="s">
        <v>133</v>
      </c>
      <c r="K330" s="6" t="s">
        <v>89</v>
      </c>
      <c r="L330" s="6"/>
      <c r="M330" s="6"/>
      <c r="N330" s="6"/>
      <c r="O330" s="6"/>
      <c r="P330" s="6"/>
      <c r="Q330" s="6"/>
      <c r="R330" s="6" t="s">
        <v>247</v>
      </c>
    </row>
    <row r="331" customFormat="false" ht="15" hidden="false" customHeight="false" outlineLevel="0" collapsed="false">
      <c r="A331" s="6" t="s">
        <v>1537</v>
      </c>
      <c r="B331" s="6" t="s">
        <v>174</v>
      </c>
      <c r="C331" s="6" t="s">
        <v>63</v>
      </c>
      <c r="D331" s="6" t="s">
        <v>1538</v>
      </c>
      <c r="E331" s="6" t="s">
        <v>1539</v>
      </c>
      <c r="F331" s="6" t="n">
        <v>2026</v>
      </c>
      <c r="G331" s="6"/>
      <c r="H331" s="6" t="s">
        <v>1540</v>
      </c>
      <c r="I331" s="6"/>
      <c r="J331" s="6" t="s">
        <v>152</v>
      </c>
      <c r="K331" s="6"/>
      <c r="L331" s="6" t="s">
        <v>120</v>
      </c>
      <c r="M331" s="6"/>
      <c r="N331" s="6" t="s">
        <v>1541</v>
      </c>
      <c r="O331" s="6" t="s">
        <v>1542</v>
      </c>
      <c r="P331" s="6" t="s">
        <v>1543</v>
      </c>
      <c r="Q331" s="6" t="s">
        <v>124</v>
      </c>
      <c r="R331" s="6" t="s">
        <v>1544</v>
      </c>
      <c r="S331" s="6" t="s">
        <v>126</v>
      </c>
    </row>
    <row r="332" customFormat="false" ht="15" hidden="false" customHeight="false" outlineLevel="0" collapsed="false">
      <c r="A332" s="6" t="s">
        <v>1545</v>
      </c>
      <c r="B332" s="6" t="s">
        <v>174</v>
      </c>
      <c r="C332" s="6" t="s">
        <v>63</v>
      </c>
      <c r="D332" s="6" t="s">
        <v>1546</v>
      </c>
      <c r="E332" s="6" t="s">
        <v>1547</v>
      </c>
      <c r="F332" s="6" t="n">
        <v>2026</v>
      </c>
      <c r="G332" s="6"/>
      <c r="H332" s="6" t="s">
        <v>1548</v>
      </c>
      <c r="I332" s="6"/>
      <c r="J332" s="6" t="s">
        <v>133</v>
      </c>
      <c r="K332" s="6" t="s">
        <v>89</v>
      </c>
      <c r="L332" s="6"/>
      <c r="M332" s="6"/>
      <c r="N332" s="6"/>
      <c r="O332" s="6"/>
      <c r="P332" s="6"/>
      <c r="Q332" s="6"/>
      <c r="R332" s="6" t="s">
        <v>247</v>
      </c>
    </row>
    <row r="333" customFormat="false" ht="15" hidden="false" customHeight="false" outlineLevel="0" collapsed="false">
      <c r="A333" s="6" t="s">
        <v>1549</v>
      </c>
      <c r="B333" s="6" t="s">
        <v>174</v>
      </c>
      <c r="C333" s="6" t="s">
        <v>65</v>
      </c>
      <c r="D333" s="6" t="s">
        <v>1550</v>
      </c>
      <c r="E333" s="6" t="s">
        <v>1551</v>
      </c>
      <c r="F333" s="6" t="n">
        <v>2016</v>
      </c>
      <c r="G333" s="6"/>
      <c r="H333" s="6" t="s">
        <v>1552</v>
      </c>
      <c r="I333" s="6"/>
      <c r="J333" s="6" t="s">
        <v>133</v>
      </c>
      <c r="K333" s="6" t="s">
        <v>91</v>
      </c>
      <c r="L333" s="6"/>
      <c r="M333" s="6"/>
      <c r="N333" s="6"/>
      <c r="O333" s="6"/>
      <c r="P333" s="6"/>
      <c r="Q333" s="6"/>
      <c r="R333" s="6" t="s">
        <v>1553</v>
      </c>
    </row>
    <row r="334" customFormat="false" ht="15" hidden="false" customHeight="false" outlineLevel="0" collapsed="false">
      <c r="A334" s="6" t="s">
        <v>1554</v>
      </c>
      <c r="B334" s="6" t="s">
        <v>174</v>
      </c>
      <c r="C334" s="6" t="s">
        <v>65</v>
      </c>
      <c r="D334" s="6" t="s">
        <v>1555</v>
      </c>
      <c r="E334" s="6" t="s">
        <v>1556</v>
      </c>
      <c r="F334" s="6" t="n">
        <v>2023</v>
      </c>
      <c r="G334" s="6"/>
      <c r="H334" s="6" t="s">
        <v>1557</v>
      </c>
      <c r="I334" s="6"/>
      <c r="J334" s="6" t="s">
        <v>120</v>
      </c>
      <c r="K334" s="6"/>
      <c r="L334" s="6" t="s">
        <v>120</v>
      </c>
      <c r="M334" s="6"/>
      <c r="N334" s="6" t="s">
        <v>1558</v>
      </c>
      <c r="O334" s="6" t="s">
        <v>122</v>
      </c>
      <c r="P334" s="6" t="s">
        <v>1559</v>
      </c>
      <c r="Q334" s="6" t="s">
        <v>124</v>
      </c>
      <c r="R334" s="6" t="s">
        <v>1560</v>
      </c>
      <c r="S334" s="6" t="s">
        <v>126</v>
      </c>
    </row>
    <row r="335" customFormat="false" ht="15" hidden="false" customHeight="false" outlineLevel="0" collapsed="false">
      <c r="A335" s="6" t="s">
        <v>1561</v>
      </c>
      <c r="B335" s="6" t="s">
        <v>174</v>
      </c>
      <c r="C335" s="6" t="s">
        <v>65</v>
      </c>
      <c r="D335" s="6" t="s">
        <v>1562</v>
      </c>
      <c r="E335" s="6" t="s">
        <v>1563</v>
      </c>
      <c r="F335" s="6" t="n">
        <v>2022</v>
      </c>
      <c r="G335" s="6"/>
      <c r="H335" s="6" t="s">
        <v>1564</v>
      </c>
      <c r="I335" s="6"/>
      <c r="J335" s="6" t="s">
        <v>120</v>
      </c>
      <c r="K335" s="6"/>
      <c r="L335" s="6" t="s">
        <v>133</v>
      </c>
      <c r="M335" s="6" t="s">
        <v>83</v>
      </c>
      <c r="N335" s="6" t="s">
        <v>1565</v>
      </c>
      <c r="O335" s="6" t="s">
        <v>115</v>
      </c>
      <c r="P335" s="6" t="s">
        <v>115</v>
      </c>
      <c r="Q335" s="6" t="s">
        <v>124</v>
      </c>
      <c r="R335" s="6" t="s">
        <v>1566</v>
      </c>
      <c r="S335" s="6" t="s">
        <v>182</v>
      </c>
    </row>
    <row r="336" customFormat="false" ht="15" hidden="false" customHeight="false" outlineLevel="0" collapsed="false">
      <c r="A336" s="6" t="s">
        <v>1567</v>
      </c>
      <c r="B336" s="6" t="s">
        <v>174</v>
      </c>
      <c r="C336" s="6" t="s">
        <v>65</v>
      </c>
      <c r="D336" s="6" t="s">
        <v>1568</v>
      </c>
      <c r="E336" s="6" t="s">
        <v>1563</v>
      </c>
      <c r="F336" s="6" t="n">
        <v>2023</v>
      </c>
      <c r="G336" s="6"/>
      <c r="H336" s="6" t="s">
        <v>1569</v>
      </c>
      <c r="I336" s="6"/>
      <c r="J336" s="6" t="s">
        <v>120</v>
      </c>
      <c r="K336" s="6"/>
      <c r="L336" s="6" t="s">
        <v>120</v>
      </c>
      <c r="M336" s="6"/>
      <c r="N336" s="6" t="s">
        <v>1570</v>
      </c>
      <c r="O336" s="6" t="s">
        <v>179</v>
      </c>
      <c r="P336" s="6" t="s">
        <v>1571</v>
      </c>
      <c r="Q336" s="6" t="s">
        <v>124</v>
      </c>
      <c r="R336" s="6" t="s">
        <v>1572</v>
      </c>
      <c r="S336" s="6" t="s">
        <v>126</v>
      </c>
    </row>
    <row r="337" customFormat="false" ht="15" hidden="false" customHeight="false" outlineLevel="0" collapsed="false">
      <c r="A337" s="6" t="s">
        <v>1573</v>
      </c>
      <c r="B337" s="6" t="s">
        <v>174</v>
      </c>
      <c r="C337" s="6" t="s">
        <v>65</v>
      </c>
      <c r="D337" s="6" t="s">
        <v>1574</v>
      </c>
      <c r="E337" s="6" t="s">
        <v>1575</v>
      </c>
      <c r="F337" s="6" t="n">
        <v>2018</v>
      </c>
      <c r="G337" s="6"/>
      <c r="H337" s="6" t="s">
        <v>1576</v>
      </c>
      <c r="I337" s="6"/>
      <c r="J337" s="6" t="s">
        <v>120</v>
      </c>
      <c r="K337" s="6"/>
      <c r="L337" s="6" t="s">
        <v>120</v>
      </c>
      <c r="M337" s="6"/>
      <c r="N337" s="6" t="s">
        <v>1577</v>
      </c>
      <c r="O337" s="6" t="s">
        <v>122</v>
      </c>
      <c r="P337" s="6" t="s">
        <v>1578</v>
      </c>
      <c r="Q337" s="6" t="s">
        <v>124</v>
      </c>
      <c r="R337" s="6" t="s">
        <v>1579</v>
      </c>
      <c r="S337" s="6" t="s">
        <v>126</v>
      </c>
    </row>
    <row r="338" customFormat="false" ht="15" hidden="false" customHeight="false" outlineLevel="0" collapsed="false">
      <c r="A338" s="6" t="s">
        <v>1580</v>
      </c>
      <c r="B338" s="6" t="s">
        <v>174</v>
      </c>
      <c r="C338" s="6" t="s">
        <v>65</v>
      </c>
      <c r="D338" s="6" t="s">
        <v>1581</v>
      </c>
      <c r="E338" s="6" t="s">
        <v>1582</v>
      </c>
      <c r="F338" s="6" t="n">
        <v>2021</v>
      </c>
      <c r="G338" s="6"/>
      <c r="H338" s="6" t="s">
        <v>1583</v>
      </c>
      <c r="I338" s="6"/>
      <c r="J338" s="6" t="s">
        <v>152</v>
      </c>
      <c r="K338" s="6"/>
      <c r="L338" s="6" t="s">
        <v>120</v>
      </c>
      <c r="M338" s="6"/>
      <c r="N338" s="6" t="s">
        <v>1584</v>
      </c>
      <c r="O338" s="6" t="s">
        <v>179</v>
      </c>
      <c r="P338" s="6" t="s">
        <v>1585</v>
      </c>
      <c r="Q338" s="6" t="s">
        <v>124</v>
      </c>
      <c r="R338" s="6" t="s">
        <v>1514</v>
      </c>
      <c r="S338" s="6" t="s">
        <v>182</v>
      </c>
    </row>
    <row r="339" customFormat="false" ht="15" hidden="false" customHeight="false" outlineLevel="0" collapsed="false">
      <c r="A339" s="6" t="s">
        <v>1586</v>
      </c>
      <c r="B339" s="6" t="s">
        <v>174</v>
      </c>
      <c r="C339" s="6" t="s">
        <v>65</v>
      </c>
      <c r="D339" s="6" t="s">
        <v>1587</v>
      </c>
      <c r="E339" s="6" t="s">
        <v>1588</v>
      </c>
      <c r="F339" s="6" t="n">
        <v>2021</v>
      </c>
      <c r="G339" s="6"/>
      <c r="H339" s="6" t="s">
        <v>1589</v>
      </c>
      <c r="I339" s="6"/>
      <c r="J339" s="6" t="s">
        <v>120</v>
      </c>
      <c r="K339" s="6"/>
      <c r="L339" s="6" t="s">
        <v>120</v>
      </c>
      <c r="M339" s="6"/>
      <c r="N339" s="6" t="s">
        <v>1590</v>
      </c>
      <c r="O339" s="6" t="s">
        <v>135</v>
      </c>
      <c r="P339" s="6" t="s">
        <v>1591</v>
      </c>
      <c r="Q339" s="6" t="s">
        <v>124</v>
      </c>
      <c r="R339" s="6" t="s">
        <v>1592</v>
      </c>
      <c r="S339" s="6" t="s">
        <v>182</v>
      </c>
    </row>
    <row r="340" customFormat="false" ht="15" hidden="false" customHeight="false" outlineLevel="0" collapsed="false">
      <c r="A340" s="6" t="s">
        <v>1593</v>
      </c>
      <c r="B340" s="6" t="s">
        <v>174</v>
      </c>
      <c r="C340" s="6" t="s">
        <v>65</v>
      </c>
      <c r="D340" s="6" t="s">
        <v>1594</v>
      </c>
      <c r="E340" s="6" t="s">
        <v>1595</v>
      </c>
      <c r="F340" s="6" t="n">
        <v>2019</v>
      </c>
      <c r="G340" s="6"/>
      <c r="H340" s="6" t="s">
        <v>1596</v>
      </c>
      <c r="I340" s="6"/>
      <c r="J340" s="6" t="s">
        <v>120</v>
      </c>
      <c r="K340" s="6"/>
      <c r="L340" s="6" t="s">
        <v>120</v>
      </c>
      <c r="M340" s="6"/>
      <c r="N340" s="6" t="s">
        <v>1597</v>
      </c>
      <c r="O340" s="6" t="s">
        <v>272</v>
      </c>
      <c r="P340" s="6" t="s">
        <v>1598</v>
      </c>
      <c r="Q340" s="6" t="s">
        <v>124</v>
      </c>
      <c r="R340" s="6" t="s">
        <v>1599</v>
      </c>
      <c r="S340" s="6" t="s">
        <v>182</v>
      </c>
    </row>
    <row r="341" customFormat="false" ht="15" hidden="false" customHeight="false" outlineLevel="0" collapsed="false">
      <c r="A341" s="6" t="s">
        <v>1600</v>
      </c>
      <c r="B341" s="6" t="s">
        <v>174</v>
      </c>
      <c r="C341" s="6" t="s">
        <v>65</v>
      </c>
      <c r="D341" s="6" t="s">
        <v>1594</v>
      </c>
      <c r="E341" s="6" t="s">
        <v>1601</v>
      </c>
      <c r="F341" s="6" t="n">
        <v>2019</v>
      </c>
      <c r="G341" s="6"/>
      <c r="H341" s="6" t="s">
        <v>1602</v>
      </c>
      <c r="I341" s="6" t="s">
        <v>1593</v>
      </c>
      <c r="J341" s="6" t="s">
        <v>133</v>
      </c>
      <c r="K341" s="6" t="s">
        <v>83</v>
      </c>
      <c r="L341" s="6"/>
      <c r="M341" s="6"/>
      <c r="N341" s="6"/>
      <c r="O341" s="6"/>
      <c r="P341" s="6"/>
      <c r="Q341" s="6"/>
      <c r="R341" s="6" t="s">
        <v>230</v>
      </c>
    </row>
    <row r="342" customFormat="false" ht="15" hidden="false" customHeight="false" outlineLevel="0" collapsed="false">
      <c r="A342" s="6" t="s">
        <v>1603</v>
      </c>
      <c r="B342" s="6" t="s">
        <v>174</v>
      </c>
      <c r="C342" s="6" t="s">
        <v>65</v>
      </c>
      <c r="D342" s="6" t="s">
        <v>1604</v>
      </c>
      <c r="E342" s="6" t="s">
        <v>1605</v>
      </c>
      <c r="F342" s="6" t="n">
        <v>2023</v>
      </c>
      <c r="G342" s="6"/>
      <c r="H342" s="6" t="s">
        <v>1606</v>
      </c>
      <c r="I342" s="6"/>
      <c r="J342" s="6" t="s">
        <v>133</v>
      </c>
      <c r="K342" s="6" t="s">
        <v>77</v>
      </c>
      <c r="L342" s="6"/>
      <c r="M342" s="6"/>
      <c r="N342" s="6"/>
      <c r="O342" s="6"/>
      <c r="P342" s="6"/>
      <c r="Q342" s="6"/>
      <c r="R342" s="6" t="s">
        <v>187</v>
      </c>
    </row>
    <row r="343" customFormat="false" ht="15" hidden="false" customHeight="false" outlineLevel="0" collapsed="false">
      <c r="A343" s="6" t="s">
        <v>1607</v>
      </c>
      <c r="B343" s="6" t="s">
        <v>174</v>
      </c>
      <c r="C343" s="6" t="s">
        <v>65</v>
      </c>
      <c r="D343" s="6" t="s">
        <v>1608</v>
      </c>
      <c r="E343" s="6" t="s">
        <v>1605</v>
      </c>
      <c r="F343" s="6" t="n">
        <v>2023</v>
      </c>
      <c r="G343" s="6"/>
      <c r="H343" s="6" t="s">
        <v>1609</v>
      </c>
      <c r="I343" s="6" t="s">
        <v>1603</v>
      </c>
      <c r="J343" s="6" t="s">
        <v>133</v>
      </c>
      <c r="K343" s="6" t="s">
        <v>83</v>
      </c>
      <c r="L343" s="6"/>
      <c r="M343" s="6"/>
      <c r="N343" s="6"/>
      <c r="O343" s="6"/>
      <c r="P343" s="6"/>
      <c r="Q343" s="6"/>
      <c r="R343" s="6" t="s">
        <v>230</v>
      </c>
    </row>
    <row r="344" customFormat="false" ht="15" hidden="false" customHeight="false" outlineLevel="0" collapsed="false">
      <c r="A344" s="6" t="s">
        <v>1610</v>
      </c>
      <c r="B344" s="6" t="s">
        <v>174</v>
      </c>
      <c r="C344" s="6" t="s">
        <v>65</v>
      </c>
      <c r="D344" s="6" t="s">
        <v>1611</v>
      </c>
      <c r="E344" s="6" t="s">
        <v>1612</v>
      </c>
      <c r="F344" s="6" t="n">
        <v>2021</v>
      </c>
      <c r="G344" s="6"/>
      <c r="H344" s="6" t="s">
        <v>1613</v>
      </c>
      <c r="I344" s="6"/>
      <c r="J344" s="6" t="s">
        <v>120</v>
      </c>
      <c r="K344" s="6"/>
      <c r="L344" s="6" t="s">
        <v>120</v>
      </c>
      <c r="M344" s="6"/>
      <c r="N344" s="6" t="s">
        <v>1614</v>
      </c>
      <c r="O344" s="6" t="s">
        <v>1615</v>
      </c>
      <c r="P344" s="6" t="s">
        <v>1616</v>
      </c>
      <c r="Q344" s="6" t="s">
        <v>124</v>
      </c>
      <c r="R344" s="6" t="s">
        <v>1617</v>
      </c>
      <c r="S344" s="6" t="s">
        <v>126</v>
      </c>
    </row>
    <row r="345" customFormat="false" ht="15" hidden="false" customHeight="false" outlineLevel="0" collapsed="false">
      <c r="A345" s="6" t="s">
        <v>1618</v>
      </c>
      <c r="B345" s="6" t="s">
        <v>174</v>
      </c>
      <c r="C345" s="6" t="s">
        <v>65</v>
      </c>
      <c r="D345" s="6" t="s">
        <v>1619</v>
      </c>
      <c r="E345" s="6" t="s">
        <v>1620</v>
      </c>
      <c r="F345" s="6" t="n">
        <v>2024</v>
      </c>
      <c r="G345" s="6"/>
      <c r="H345" s="6" t="s">
        <v>1621</v>
      </c>
      <c r="I345" s="6"/>
      <c r="J345" s="6" t="s">
        <v>133</v>
      </c>
      <c r="K345" s="6" t="s">
        <v>77</v>
      </c>
      <c r="L345" s="6"/>
      <c r="M345" s="6"/>
      <c r="N345" s="6"/>
      <c r="O345" s="6"/>
      <c r="P345" s="6"/>
      <c r="Q345" s="6"/>
      <c r="R345" s="6" t="s">
        <v>187</v>
      </c>
    </row>
    <row r="346" customFormat="false" ht="15" hidden="false" customHeight="false" outlineLevel="0" collapsed="false">
      <c r="A346" s="6" t="s">
        <v>1622</v>
      </c>
      <c r="B346" s="6" t="s">
        <v>174</v>
      </c>
      <c r="C346" s="6" t="s">
        <v>65</v>
      </c>
      <c r="D346" s="6" t="s">
        <v>1623</v>
      </c>
      <c r="E346" s="6" t="s">
        <v>1624</v>
      </c>
      <c r="F346" s="6" t="n">
        <v>2025</v>
      </c>
      <c r="G346" s="6"/>
      <c r="H346" s="6" t="s">
        <v>1625</v>
      </c>
      <c r="I346" s="6"/>
      <c r="J346" s="6" t="s">
        <v>133</v>
      </c>
      <c r="K346" s="6" t="s">
        <v>81</v>
      </c>
      <c r="L346" s="6"/>
      <c r="M346" s="6"/>
      <c r="N346" s="6"/>
      <c r="O346" s="6"/>
      <c r="P346" s="6"/>
      <c r="Q346" s="6"/>
      <c r="R346" s="6" t="s">
        <v>975</v>
      </c>
    </row>
    <row r="347" customFormat="false" ht="15" hidden="false" customHeight="false" outlineLevel="0" collapsed="false">
      <c r="A347" s="6" t="s">
        <v>1626</v>
      </c>
      <c r="B347" s="6" t="s">
        <v>174</v>
      </c>
      <c r="C347" s="6" t="s">
        <v>65</v>
      </c>
      <c r="D347" s="6" t="s">
        <v>1627</v>
      </c>
      <c r="E347" s="6" t="s">
        <v>1628</v>
      </c>
      <c r="F347" s="6" t="n">
        <v>2020</v>
      </c>
      <c r="G347" s="6"/>
      <c r="H347" s="6" t="s">
        <v>1629</v>
      </c>
      <c r="I347" s="6"/>
      <c r="J347" s="6" t="s">
        <v>120</v>
      </c>
      <c r="K347" s="6"/>
      <c r="L347" s="6" t="s">
        <v>120</v>
      </c>
      <c r="M347" s="6"/>
      <c r="N347" s="6" t="s">
        <v>1630</v>
      </c>
      <c r="O347" s="6" t="s">
        <v>272</v>
      </c>
      <c r="P347" s="6" t="s">
        <v>1598</v>
      </c>
      <c r="Q347" s="6" t="s">
        <v>124</v>
      </c>
      <c r="R347" s="6" t="s">
        <v>1631</v>
      </c>
      <c r="S347" s="6" t="s">
        <v>182</v>
      </c>
    </row>
    <row r="348" customFormat="false" ht="15" hidden="false" customHeight="false" outlineLevel="0" collapsed="false">
      <c r="A348" s="6" t="s">
        <v>1632</v>
      </c>
      <c r="B348" s="6" t="s">
        <v>174</v>
      </c>
      <c r="C348" s="6" t="s">
        <v>65</v>
      </c>
      <c r="D348" s="6" t="s">
        <v>1633</v>
      </c>
      <c r="E348" s="6" t="s">
        <v>1634</v>
      </c>
      <c r="F348" s="6" t="n">
        <v>2026</v>
      </c>
      <c r="G348" s="6"/>
      <c r="H348" s="6" t="s">
        <v>1635</v>
      </c>
      <c r="I348" s="6"/>
      <c r="J348" s="6" t="s">
        <v>133</v>
      </c>
      <c r="K348" s="6" t="s">
        <v>77</v>
      </c>
      <c r="L348" s="6"/>
      <c r="M348" s="6"/>
      <c r="N348" s="6"/>
      <c r="O348" s="6"/>
      <c r="P348" s="6"/>
      <c r="Q348" s="6"/>
      <c r="R348" s="6" t="s">
        <v>187</v>
      </c>
    </row>
    <row r="349" customFormat="false" ht="15" hidden="false" customHeight="false" outlineLevel="0" collapsed="false">
      <c r="A349" s="6" t="s">
        <v>1636</v>
      </c>
      <c r="B349" s="6" t="s">
        <v>174</v>
      </c>
      <c r="C349" s="6" t="s">
        <v>65</v>
      </c>
      <c r="D349" s="6" t="s">
        <v>1637</v>
      </c>
      <c r="E349" s="6" t="s">
        <v>1638</v>
      </c>
      <c r="F349" s="6" t="n">
        <v>2013</v>
      </c>
      <c r="G349" s="6"/>
      <c r="H349" s="6" t="s">
        <v>1639</v>
      </c>
      <c r="I349" s="6"/>
      <c r="J349" s="6" t="s">
        <v>133</v>
      </c>
      <c r="K349" s="6" t="s">
        <v>91</v>
      </c>
      <c r="L349" s="6"/>
      <c r="M349" s="6"/>
      <c r="N349" s="6"/>
      <c r="O349" s="6"/>
      <c r="P349" s="6"/>
      <c r="Q349" s="6"/>
      <c r="R349" s="6" t="s">
        <v>1457</v>
      </c>
    </row>
    <row r="350" customFormat="false" ht="15" hidden="false" customHeight="false" outlineLevel="0" collapsed="false">
      <c r="A350" s="6" t="s">
        <v>1640</v>
      </c>
      <c r="B350" s="6" t="s">
        <v>174</v>
      </c>
      <c r="C350" s="6" t="s">
        <v>65</v>
      </c>
      <c r="D350" s="6" t="s">
        <v>1641</v>
      </c>
      <c r="E350" s="6" t="s">
        <v>1612</v>
      </c>
      <c r="F350" s="6" t="n">
        <v>2021</v>
      </c>
      <c r="G350" s="6"/>
      <c r="H350" s="6" t="s">
        <v>1642</v>
      </c>
      <c r="I350" s="6" t="s">
        <v>1610</v>
      </c>
      <c r="J350" s="6" t="s">
        <v>133</v>
      </c>
      <c r="K350" s="6" t="s">
        <v>83</v>
      </c>
      <c r="L350" s="6"/>
      <c r="M350" s="6"/>
      <c r="N350" s="6"/>
      <c r="O350" s="6"/>
      <c r="P350" s="6"/>
      <c r="Q350" s="6"/>
      <c r="R350" s="6" t="s">
        <v>230</v>
      </c>
    </row>
    <row r="351" customFormat="false" ht="15" hidden="false" customHeight="false" outlineLevel="0" collapsed="false">
      <c r="A351" s="6" t="s">
        <v>1643</v>
      </c>
      <c r="B351" s="6" t="s">
        <v>174</v>
      </c>
      <c r="C351" s="6" t="s">
        <v>65</v>
      </c>
      <c r="D351" s="6" t="s">
        <v>1644</v>
      </c>
      <c r="E351" s="6" t="s">
        <v>1645</v>
      </c>
      <c r="F351" s="6" t="n">
        <v>2024</v>
      </c>
      <c r="G351" s="6"/>
      <c r="H351" s="6" t="s">
        <v>1646</v>
      </c>
      <c r="I351" s="6"/>
      <c r="J351" s="6" t="s">
        <v>120</v>
      </c>
      <c r="K351" s="6"/>
      <c r="L351" s="6" t="s">
        <v>120</v>
      </c>
      <c r="M351" s="6"/>
      <c r="N351" s="6" t="s">
        <v>1647</v>
      </c>
      <c r="O351" s="6" t="s">
        <v>1648</v>
      </c>
      <c r="P351" s="6" t="s">
        <v>1649</v>
      </c>
      <c r="Q351" s="6" t="s">
        <v>124</v>
      </c>
      <c r="R351" s="6" t="s">
        <v>1650</v>
      </c>
      <c r="S351" s="6" t="s">
        <v>126</v>
      </c>
    </row>
    <row r="352" customFormat="false" ht="15" hidden="false" customHeight="false" outlineLevel="0" collapsed="false">
      <c r="A352" s="6" t="s">
        <v>1651</v>
      </c>
      <c r="B352" s="6" t="s">
        <v>174</v>
      </c>
      <c r="C352" s="6" t="s">
        <v>65</v>
      </c>
      <c r="D352" s="6" t="s">
        <v>1652</v>
      </c>
      <c r="E352" s="6" t="s">
        <v>1653</v>
      </c>
      <c r="F352" s="6" t="n">
        <v>2025</v>
      </c>
      <c r="G352" s="6"/>
      <c r="H352" s="6" t="s">
        <v>1654</v>
      </c>
      <c r="I352" s="6"/>
      <c r="J352" s="6" t="s">
        <v>120</v>
      </c>
      <c r="K352" s="6"/>
      <c r="L352" s="6" t="s">
        <v>120</v>
      </c>
      <c r="M352" s="6"/>
      <c r="N352" s="6" t="s">
        <v>1655</v>
      </c>
      <c r="O352" s="6" t="s">
        <v>1378</v>
      </c>
      <c r="P352" s="6" t="s">
        <v>1656</v>
      </c>
      <c r="Q352" s="6" t="s">
        <v>124</v>
      </c>
      <c r="R352" s="6" t="s">
        <v>1657</v>
      </c>
      <c r="S352" s="6" t="s">
        <v>126</v>
      </c>
    </row>
    <row r="353" customFormat="false" ht="15" hidden="false" customHeight="false" outlineLevel="0" collapsed="false">
      <c r="A353" s="6" t="s">
        <v>1658</v>
      </c>
      <c r="B353" s="6" t="s">
        <v>174</v>
      </c>
      <c r="C353" s="6" t="s">
        <v>65</v>
      </c>
      <c r="D353" s="6" t="s">
        <v>1659</v>
      </c>
      <c r="E353" s="6" t="s">
        <v>1660</v>
      </c>
      <c r="F353" s="6" t="n">
        <v>2020</v>
      </c>
      <c r="G353" s="6"/>
      <c r="H353" s="6" t="s">
        <v>1661</v>
      </c>
      <c r="I353" s="6"/>
      <c r="J353" s="6" t="s">
        <v>152</v>
      </c>
      <c r="K353" s="6"/>
      <c r="L353" s="6" t="s">
        <v>120</v>
      </c>
      <c r="M353" s="6"/>
      <c r="N353" s="6" t="s">
        <v>1662</v>
      </c>
      <c r="O353" s="6" t="s">
        <v>122</v>
      </c>
      <c r="P353" s="6" t="s">
        <v>1663</v>
      </c>
      <c r="Q353" s="6" t="s">
        <v>124</v>
      </c>
      <c r="R353" s="6" t="s">
        <v>1664</v>
      </c>
      <c r="S353" s="6" t="s">
        <v>126</v>
      </c>
    </row>
    <row r="354" customFormat="false" ht="15" hidden="false" customHeight="false" outlineLevel="0" collapsed="false">
      <c r="A354" s="6" t="s">
        <v>1665</v>
      </c>
      <c r="B354" s="6" t="s">
        <v>174</v>
      </c>
      <c r="C354" s="6" t="s">
        <v>65</v>
      </c>
      <c r="D354" s="6" t="s">
        <v>1666</v>
      </c>
      <c r="E354" s="6" t="s">
        <v>1667</v>
      </c>
      <c r="F354" s="6" t="n">
        <v>2018</v>
      </c>
      <c r="G354" s="6"/>
      <c r="H354" s="6" t="s">
        <v>1668</v>
      </c>
      <c r="I354" s="6"/>
      <c r="J354" s="6" t="s">
        <v>152</v>
      </c>
      <c r="K354" s="6"/>
      <c r="L354" s="6" t="s">
        <v>133</v>
      </c>
      <c r="M354" s="6" t="s">
        <v>83</v>
      </c>
      <c r="N354" s="6" t="s">
        <v>1669</v>
      </c>
      <c r="O354" s="6" t="s">
        <v>115</v>
      </c>
      <c r="P354" s="6" t="s">
        <v>115</v>
      </c>
      <c r="Q354" s="6" t="s">
        <v>124</v>
      </c>
      <c r="R354" s="6" t="s">
        <v>1670</v>
      </c>
      <c r="S354" s="6" t="s">
        <v>182</v>
      </c>
    </row>
    <row r="355" customFormat="false" ht="15" hidden="false" customHeight="false" outlineLevel="0" collapsed="false">
      <c r="A355" s="6" t="s">
        <v>1671</v>
      </c>
      <c r="B355" s="6" t="s">
        <v>174</v>
      </c>
      <c r="C355" s="6" t="s">
        <v>65</v>
      </c>
      <c r="D355" s="6" t="s">
        <v>1374</v>
      </c>
      <c r="E355" s="6" t="s">
        <v>1375</v>
      </c>
      <c r="F355" s="6" t="n">
        <v>2021</v>
      </c>
      <c r="G355" s="6"/>
      <c r="H355" s="6" t="s">
        <v>1376</v>
      </c>
      <c r="I355" s="6" t="s">
        <v>1373</v>
      </c>
      <c r="J355" s="6" t="s">
        <v>133</v>
      </c>
      <c r="K355" s="6" t="s">
        <v>83</v>
      </c>
      <c r="L355" s="6"/>
      <c r="M355" s="6"/>
      <c r="N355" s="6"/>
      <c r="O355" s="6"/>
      <c r="P355" s="6"/>
      <c r="Q355" s="6"/>
      <c r="R355" s="6" t="s">
        <v>230</v>
      </c>
    </row>
    <row r="356" customFormat="false" ht="15" hidden="false" customHeight="false" outlineLevel="0" collapsed="false">
      <c r="A356" s="6" t="s">
        <v>1672</v>
      </c>
      <c r="B356" s="6" t="s">
        <v>174</v>
      </c>
      <c r="C356" s="6" t="s">
        <v>65</v>
      </c>
      <c r="D356" s="6" t="s">
        <v>1673</v>
      </c>
      <c r="E356" s="6" t="s">
        <v>1674</v>
      </c>
      <c r="F356" s="6" t="n">
        <v>2022</v>
      </c>
      <c r="G356" s="6"/>
      <c r="H356" s="6" t="s">
        <v>1675</v>
      </c>
      <c r="I356" s="6"/>
      <c r="J356" s="6" t="s">
        <v>120</v>
      </c>
      <c r="K356" s="6"/>
      <c r="L356" s="6" t="s">
        <v>120</v>
      </c>
      <c r="M356" s="6"/>
      <c r="N356" s="6" t="s">
        <v>1676</v>
      </c>
      <c r="O356" s="6" t="s">
        <v>122</v>
      </c>
      <c r="P356" s="6" t="s">
        <v>1677</v>
      </c>
      <c r="Q356" s="6" t="s">
        <v>124</v>
      </c>
      <c r="R356" s="6" t="s">
        <v>1678</v>
      </c>
      <c r="S356" s="6" t="s">
        <v>126</v>
      </c>
    </row>
    <row r="357" customFormat="false" ht="15" hidden="false" customHeight="false" outlineLevel="0" collapsed="false">
      <c r="A357" s="6" t="s">
        <v>1679</v>
      </c>
      <c r="B357" s="6" t="s">
        <v>174</v>
      </c>
      <c r="C357" s="6" t="s">
        <v>65</v>
      </c>
      <c r="D357" s="6" t="s">
        <v>1403</v>
      </c>
      <c r="E357" s="6" t="s">
        <v>1404</v>
      </c>
      <c r="F357" s="6" t="n">
        <v>2021</v>
      </c>
      <c r="G357" s="6"/>
      <c r="H357" s="6" t="s">
        <v>1405</v>
      </c>
      <c r="I357" s="6" t="s">
        <v>1402</v>
      </c>
      <c r="J357" s="6" t="s">
        <v>133</v>
      </c>
      <c r="K357" s="6" t="s">
        <v>83</v>
      </c>
      <c r="L357" s="6"/>
      <c r="M357" s="6"/>
      <c r="N357" s="6"/>
      <c r="O357" s="6"/>
      <c r="P357" s="6"/>
      <c r="Q357" s="6"/>
      <c r="R357" s="6" t="s">
        <v>230</v>
      </c>
    </row>
    <row r="358" customFormat="false" ht="15" hidden="false" customHeight="false" outlineLevel="0" collapsed="false">
      <c r="A358" s="6" t="s">
        <v>1680</v>
      </c>
      <c r="B358" s="6" t="s">
        <v>174</v>
      </c>
      <c r="C358" s="6" t="s">
        <v>65</v>
      </c>
      <c r="D358" s="6" t="s">
        <v>1681</v>
      </c>
      <c r="E358" s="6" t="s">
        <v>1682</v>
      </c>
      <c r="F358" s="6" t="n">
        <v>2018</v>
      </c>
      <c r="G358" s="6"/>
      <c r="H358" s="6" t="s">
        <v>1683</v>
      </c>
      <c r="I358" s="6"/>
      <c r="J358" s="6" t="s">
        <v>120</v>
      </c>
      <c r="K358" s="6"/>
      <c r="L358" s="6" t="s">
        <v>120</v>
      </c>
      <c r="M358" s="6"/>
      <c r="N358" s="6" t="s">
        <v>1684</v>
      </c>
      <c r="O358" s="6" t="s">
        <v>122</v>
      </c>
      <c r="P358" s="6" t="s">
        <v>1685</v>
      </c>
      <c r="Q358" s="6" t="s">
        <v>124</v>
      </c>
      <c r="R358" s="6" t="s">
        <v>1686</v>
      </c>
      <c r="S358" s="6" t="s">
        <v>182</v>
      </c>
    </row>
    <row r="359" customFormat="false" ht="15" hidden="false" customHeight="false" outlineLevel="0" collapsed="false">
      <c r="A359" s="6" t="s">
        <v>1687</v>
      </c>
      <c r="B359" s="6" t="s">
        <v>174</v>
      </c>
      <c r="C359" s="6" t="s">
        <v>65</v>
      </c>
      <c r="D359" s="6" t="s">
        <v>1688</v>
      </c>
      <c r="E359" s="6" t="s">
        <v>1689</v>
      </c>
      <c r="F359" s="6" t="n">
        <v>2023</v>
      </c>
      <c r="G359" s="6"/>
      <c r="H359" s="6" t="s">
        <v>1690</v>
      </c>
      <c r="I359" s="6"/>
      <c r="J359" s="6" t="s">
        <v>120</v>
      </c>
      <c r="K359" s="6"/>
      <c r="L359" s="6" t="s">
        <v>120</v>
      </c>
      <c r="M359" s="6"/>
      <c r="N359" s="6" t="s">
        <v>1691</v>
      </c>
      <c r="O359" s="6" t="s">
        <v>1378</v>
      </c>
      <c r="P359" s="6" t="s">
        <v>1692</v>
      </c>
      <c r="Q359" s="6" t="s">
        <v>124</v>
      </c>
      <c r="R359" s="6" t="s">
        <v>1693</v>
      </c>
      <c r="S359" s="6" t="s">
        <v>126</v>
      </c>
    </row>
    <row r="360" customFormat="false" ht="15" hidden="false" customHeight="false" outlineLevel="0" collapsed="false">
      <c r="A360" s="6" t="s">
        <v>1694</v>
      </c>
      <c r="B360" s="6" t="s">
        <v>174</v>
      </c>
      <c r="C360" s="6" t="s">
        <v>65</v>
      </c>
      <c r="D360" s="6" t="s">
        <v>1695</v>
      </c>
      <c r="E360" s="6" t="s">
        <v>1696</v>
      </c>
      <c r="F360" s="6" t="n">
        <v>2020</v>
      </c>
      <c r="G360" s="6"/>
      <c r="H360" s="6" t="s">
        <v>1697</v>
      </c>
      <c r="I360" s="6"/>
      <c r="J360" s="6" t="s">
        <v>152</v>
      </c>
      <c r="K360" s="6"/>
      <c r="L360" s="6" t="s">
        <v>133</v>
      </c>
      <c r="M360" s="6" t="s">
        <v>89</v>
      </c>
      <c r="N360" s="6" t="s">
        <v>1698</v>
      </c>
      <c r="O360" s="6" t="s">
        <v>272</v>
      </c>
      <c r="P360" s="6" t="s">
        <v>115</v>
      </c>
      <c r="Q360" s="6" t="s">
        <v>124</v>
      </c>
      <c r="R360" s="6" t="s">
        <v>1699</v>
      </c>
      <c r="S360" s="6" t="s">
        <v>182</v>
      </c>
    </row>
    <row r="361" customFormat="false" ht="15" hidden="false" customHeight="false" outlineLevel="0" collapsed="false">
      <c r="A361" s="6" t="s">
        <v>1700</v>
      </c>
      <c r="B361" s="6" t="s">
        <v>174</v>
      </c>
      <c r="C361" s="6" t="s">
        <v>65</v>
      </c>
      <c r="D361" s="6" t="s">
        <v>1701</v>
      </c>
      <c r="E361" s="6" t="s">
        <v>1702</v>
      </c>
      <c r="F361" s="6" t="n">
        <v>2022</v>
      </c>
      <c r="G361" s="6"/>
      <c r="H361" s="6" t="s">
        <v>1703</v>
      </c>
      <c r="I361" s="6"/>
      <c r="J361" s="6" t="s">
        <v>133</v>
      </c>
      <c r="K361" s="6" t="s">
        <v>77</v>
      </c>
      <c r="L361" s="6"/>
      <c r="M361" s="6"/>
      <c r="N361" s="6"/>
      <c r="O361" s="6"/>
      <c r="P361" s="6"/>
      <c r="Q361" s="6"/>
      <c r="R361" s="6" t="s">
        <v>187</v>
      </c>
    </row>
    <row r="362" customFormat="false" ht="15" hidden="false" customHeight="false" outlineLevel="0" collapsed="false">
      <c r="A362" s="6" t="s">
        <v>1704</v>
      </c>
      <c r="B362" s="6" t="s">
        <v>174</v>
      </c>
      <c r="C362" s="6" t="s">
        <v>65</v>
      </c>
      <c r="D362" s="6" t="s">
        <v>1705</v>
      </c>
      <c r="E362" s="6" t="s">
        <v>1706</v>
      </c>
      <c r="F362" s="6" t="n">
        <v>2023</v>
      </c>
      <c r="G362" s="6"/>
      <c r="H362" s="6" t="s">
        <v>1707</v>
      </c>
      <c r="I362" s="6"/>
      <c r="J362" s="6" t="s">
        <v>133</v>
      </c>
      <c r="K362" s="6" t="s">
        <v>91</v>
      </c>
      <c r="L362" s="6"/>
      <c r="M362" s="6"/>
      <c r="N362" s="6"/>
      <c r="O362" s="6"/>
      <c r="P362" s="6"/>
      <c r="Q362" s="6"/>
      <c r="R362" s="6" t="s">
        <v>1457</v>
      </c>
    </row>
    <row r="363" customFormat="false" ht="15" hidden="false" customHeight="false" outlineLevel="0" collapsed="false">
      <c r="A363" s="6" t="s">
        <v>1708</v>
      </c>
      <c r="B363" s="6" t="s">
        <v>174</v>
      </c>
      <c r="C363" s="6" t="s">
        <v>65</v>
      </c>
      <c r="D363" s="6" t="s">
        <v>1709</v>
      </c>
      <c r="E363" s="6" t="s">
        <v>1710</v>
      </c>
      <c r="F363" s="6" t="n">
        <v>2023</v>
      </c>
      <c r="G363" s="6"/>
      <c r="H363" s="6" t="s">
        <v>1711</v>
      </c>
      <c r="I363" s="6"/>
      <c r="J363" s="6" t="s">
        <v>152</v>
      </c>
      <c r="K363" s="6"/>
      <c r="L363" s="6" t="s">
        <v>120</v>
      </c>
      <c r="M363" s="6"/>
      <c r="N363" s="6" t="s">
        <v>1712</v>
      </c>
      <c r="O363" s="6" t="s">
        <v>261</v>
      </c>
      <c r="P363" s="6" t="s">
        <v>1713</v>
      </c>
      <c r="Q363" s="6" t="s">
        <v>124</v>
      </c>
      <c r="R363" s="6" t="s">
        <v>1714</v>
      </c>
      <c r="S363" s="6" t="s">
        <v>182</v>
      </c>
    </row>
    <row r="364" customFormat="false" ht="15" hidden="false" customHeight="false" outlineLevel="0" collapsed="false">
      <c r="A364" s="6" t="s">
        <v>1715</v>
      </c>
      <c r="B364" s="6" t="s">
        <v>174</v>
      </c>
      <c r="C364" s="6" t="s">
        <v>65</v>
      </c>
      <c r="D364" s="6" t="s">
        <v>1716</v>
      </c>
      <c r="E364" s="6" t="s">
        <v>1717</v>
      </c>
      <c r="F364" s="6" t="n">
        <v>2017</v>
      </c>
      <c r="G364" s="6"/>
      <c r="H364" s="6" t="s">
        <v>1718</v>
      </c>
      <c r="I364" s="6"/>
      <c r="J364" s="6" t="s">
        <v>152</v>
      </c>
      <c r="K364" s="6"/>
      <c r="L364" s="6" t="s">
        <v>120</v>
      </c>
      <c r="M364" s="6"/>
      <c r="N364" s="6" t="s">
        <v>1719</v>
      </c>
      <c r="O364" s="6" t="s">
        <v>261</v>
      </c>
      <c r="P364" s="6" t="s">
        <v>1720</v>
      </c>
      <c r="Q364" s="6" t="s">
        <v>124</v>
      </c>
      <c r="R364" s="6" t="s">
        <v>1721</v>
      </c>
      <c r="S364" s="6" t="s">
        <v>182</v>
      </c>
    </row>
    <row r="365" customFormat="false" ht="15" hidden="false" customHeight="false" outlineLevel="0" collapsed="false">
      <c r="A365" s="6" t="s">
        <v>1722</v>
      </c>
      <c r="B365" s="6" t="s">
        <v>174</v>
      </c>
      <c r="C365" s="6" t="s">
        <v>65</v>
      </c>
      <c r="D365" s="6" t="s">
        <v>1723</v>
      </c>
      <c r="E365" s="6" t="s">
        <v>1724</v>
      </c>
      <c r="F365" s="6" t="n">
        <v>2024</v>
      </c>
      <c r="G365" s="6"/>
      <c r="H365" s="6" t="s">
        <v>1725</v>
      </c>
      <c r="I365" s="6"/>
      <c r="J365" s="6" t="s">
        <v>133</v>
      </c>
      <c r="K365" s="6" t="s">
        <v>91</v>
      </c>
      <c r="L365" s="6"/>
      <c r="M365" s="6"/>
      <c r="N365" s="6"/>
      <c r="O365" s="6"/>
      <c r="P365" s="6"/>
      <c r="Q365" s="6"/>
      <c r="R365" s="6" t="s">
        <v>1726</v>
      </c>
    </row>
    <row r="366" customFormat="false" ht="15" hidden="false" customHeight="false" outlineLevel="0" collapsed="false">
      <c r="A366" s="6" t="s">
        <v>1727</v>
      </c>
      <c r="B366" s="6" t="s">
        <v>174</v>
      </c>
      <c r="C366" s="6" t="s">
        <v>65</v>
      </c>
      <c r="D366" s="6" t="s">
        <v>1728</v>
      </c>
      <c r="E366" s="6" t="s">
        <v>1729</v>
      </c>
      <c r="F366" s="6" t="n">
        <v>2020</v>
      </c>
      <c r="G366" s="6"/>
      <c r="H366" s="6" t="s">
        <v>1730</v>
      </c>
      <c r="I366" s="6"/>
      <c r="J366" s="6" t="s">
        <v>120</v>
      </c>
      <c r="K366" s="6"/>
      <c r="L366" s="6" t="s">
        <v>120</v>
      </c>
      <c r="M366" s="6"/>
      <c r="N366" s="6" t="s">
        <v>1731</v>
      </c>
      <c r="O366" s="6" t="s">
        <v>179</v>
      </c>
      <c r="P366" s="6" t="s">
        <v>1732</v>
      </c>
      <c r="Q366" s="6" t="s">
        <v>124</v>
      </c>
      <c r="R366" s="6" t="s">
        <v>1733</v>
      </c>
      <c r="S366" s="6" t="s">
        <v>182</v>
      </c>
    </row>
    <row r="367" customFormat="false" ht="15" hidden="false" customHeight="false" outlineLevel="0" collapsed="false">
      <c r="A367" s="6" t="s">
        <v>1734</v>
      </c>
      <c r="B367" s="6" t="s">
        <v>174</v>
      </c>
      <c r="C367" s="6" t="s">
        <v>65</v>
      </c>
      <c r="D367" s="6" t="s">
        <v>1735</v>
      </c>
      <c r="E367" s="6" t="s">
        <v>1736</v>
      </c>
      <c r="F367" s="6" t="n">
        <v>2026</v>
      </c>
      <c r="G367" s="6"/>
      <c r="H367" s="6" t="s">
        <v>1737</v>
      </c>
      <c r="I367" s="6"/>
      <c r="J367" s="6" t="s">
        <v>133</v>
      </c>
      <c r="K367" s="6" t="s">
        <v>77</v>
      </c>
      <c r="L367" s="6"/>
      <c r="M367" s="6"/>
      <c r="N367" s="6"/>
      <c r="O367" s="6"/>
      <c r="P367" s="6"/>
      <c r="Q367" s="6"/>
      <c r="R367" s="6" t="s">
        <v>187</v>
      </c>
    </row>
    <row r="368" customFormat="false" ht="15" hidden="false" customHeight="false" outlineLevel="0" collapsed="false">
      <c r="A368" s="6" t="s">
        <v>1738</v>
      </c>
      <c r="B368" s="6" t="s">
        <v>174</v>
      </c>
      <c r="C368" s="6" t="s">
        <v>65</v>
      </c>
      <c r="D368" s="6" t="s">
        <v>1739</v>
      </c>
      <c r="E368" s="6" t="s">
        <v>1740</v>
      </c>
      <c r="F368" s="6" t="n">
        <v>2016</v>
      </c>
      <c r="G368" s="6"/>
      <c r="H368" s="6" t="s">
        <v>1741</v>
      </c>
      <c r="I368" s="6"/>
      <c r="J368" s="6" t="s">
        <v>120</v>
      </c>
      <c r="K368" s="6"/>
      <c r="L368" s="6" t="s">
        <v>120</v>
      </c>
      <c r="M368" s="6"/>
      <c r="N368" s="6" t="s">
        <v>1742</v>
      </c>
      <c r="O368" s="6" t="s">
        <v>122</v>
      </c>
      <c r="P368" s="6" t="s">
        <v>1743</v>
      </c>
      <c r="Q368" s="6" t="s">
        <v>124</v>
      </c>
      <c r="R368" s="6" t="s">
        <v>1744</v>
      </c>
      <c r="S368" s="6" t="s">
        <v>182</v>
      </c>
    </row>
    <row r="369" customFormat="false" ht="15" hidden="false" customHeight="false" outlineLevel="0" collapsed="false">
      <c r="A369" s="6" t="s">
        <v>1745</v>
      </c>
      <c r="B369" s="6" t="s">
        <v>174</v>
      </c>
      <c r="C369" s="6" t="s">
        <v>65</v>
      </c>
      <c r="D369" s="6" t="s">
        <v>1746</v>
      </c>
      <c r="E369" s="6" t="s">
        <v>1747</v>
      </c>
      <c r="F369" s="6" t="n">
        <v>2023</v>
      </c>
      <c r="G369" s="6"/>
      <c r="H369" s="6" t="s">
        <v>1748</v>
      </c>
      <c r="I369" s="6"/>
      <c r="J369" s="6" t="s">
        <v>152</v>
      </c>
      <c r="K369" s="6"/>
      <c r="L369" s="6" t="s">
        <v>120</v>
      </c>
      <c r="M369" s="6"/>
      <c r="N369" s="6" t="s">
        <v>1749</v>
      </c>
      <c r="O369" s="6" t="s">
        <v>1750</v>
      </c>
      <c r="P369" s="6" t="s">
        <v>1751</v>
      </c>
      <c r="Q369" s="6" t="s">
        <v>124</v>
      </c>
      <c r="R369" s="6" t="s">
        <v>1752</v>
      </c>
      <c r="S369" s="6" t="s">
        <v>182</v>
      </c>
    </row>
    <row r="370" customFormat="false" ht="15" hidden="false" customHeight="false" outlineLevel="0" collapsed="false">
      <c r="A370" s="6" t="s">
        <v>1753</v>
      </c>
      <c r="B370" s="6" t="s">
        <v>174</v>
      </c>
      <c r="C370" s="6" t="s">
        <v>65</v>
      </c>
      <c r="D370" s="6" t="s">
        <v>1754</v>
      </c>
      <c r="E370" s="6" t="s">
        <v>1755</v>
      </c>
      <c r="F370" s="6" t="n">
        <v>2023</v>
      </c>
      <c r="G370" s="6"/>
      <c r="H370" s="6" t="s">
        <v>1756</v>
      </c>
      <c r="I370" s="6"/>
      <c r="J370" s="6" t="s">
        <v>133</v>
      </c>
      <c r="K370" s="6" t="s">
        <v>77</v>
      </c>
      <c r="L370" s="6"/>
      <c r="M370" s="6"/>
      <c r="N370" s="6"/>
      <c r="O370" s="6"/>
      <c r="P370" s="6"/>
      <c r="Q370" s="6"/>
      <c r="R370" s="6" t="s">
        <v>187</v>
      </c>
    </row>
    <row r="371" customFormat="false" ht="15" hidden="false" customHeight="false" outlineLevel="0" collapsed="false">
      <c r="A371" s="6" t="s">
        <v>1757</v>
      </c>
      <c r="B371" s="6" t="s">
        <v>174</v>
      </c>
      <c r="C371" s="6" t="s">
        <v>65</v>
      </c>
      <c r="D371" s="6" t="s">
        <v>1758</v>
      </c>
      <c r="E371" s="6" t="s">
        <v>1759</v>
      </c>
      <c r="F371" s="6" t="n">
        <v>2022</v>
      </c>
      <c r="G371" s="6"/>
      <c r="H371" s="6" t="s">
        <v>1760</v>
      </c>
      <c r="I371" s="6"/>
      <c r="J371" s="6" t="s">
        <v>133</v>
      </c>
      <c r="K371" s="6" t="s">
        <v>91</v>
      </c>
      <c r="L371" s="6"/>
      <c r="M371" s="6"/>
      <c r="N371" s="6"/>
      <c r="O371" s="6"/>
      <c r="P371" s="6"/>
      <c r="Q371" s="6"/>
      <c r="R371" s="6" t="s">
        <v>1457</v>
      </c>
    </row>
    <row r="372" customFormat="false" ht="15" hidden="false" customHeight="false" outlineLevel="0" collapsed="false">
      <c r="A372" s="6" t="s">
        <v>1761</v>
      </c>
      <c r="B372" s="6" t="s">
        <v>174</v>
      </c>
      <c r="C372" s="6" t="s">
        <v>65</v>
      </c>
      <c r="D372" s="6" t="s">
        <v>1762</v>
      </c>
      <c r="E372" s="6" t="s">
        <v>1763</v>
      </c>
      <c r="F372" s="6" t="n">
        <v>2026</v>
      </c>
      <c r="G372" s="6"/>
      <c r="H372" s="6" t="s">
        <v>1764</v>
      </c>
      <c r="I372" s="6"/>
      <c r="J372" s="6" t="s">
        <v>133</v>
      </c>
      <c r="K372" s="6" t="s">
        <v>77</v>
      </c>
      <c r="L372" s="6"/>
      <c r="M372" s="6"/>
      <c r="N372" s="6"/>
      <c r="O372" s="6"/>
      <c r="P372" s="6"/>
      <c r="Q372" s="6"/>
      <c r="R372" s="6" t="s">
        <v>187</v>
      </c>
    </row>
    <row r="373" customFormat="false" ht="15" hidden="false" customHeight="false" outlineLevel="0" collapsed="false">
      <c r="A373" s="6" t="s">
        <v>1765</v>
      </c>
      <c r="B373" s="6" t="s">
        <v>174</v>
      </c>
      <c r="C373" s="6" t="s">
        <v>65</v>
      </c>
      <c r="D373" s="6" t="s">
        <v>1766</v>
      </c>
      <c r="E373" s="6" t="s">
        <v>1767</v>
      </c>
      <c r="F373" s="6" t="n">
        <v>2025</v>
      </c>
      <c r="G373" s="6"/>
      <c r="H373" s="6" t="s">
        <v>1768</v>
      </c>
      <c r="I373" s="6"/>
      <c r="J373" s="6" t="s">
        <v>133</v>
      </c>
      <c r="K373" s="6" t="s">
        <v>91</v>
      </c>
      <c r="L373" s="6"/>
      <c r="M373" s="6"/>
      <c r="N373" s="6"/>
      <c r="O373" s="6"/>
      <c r="P373" s="6"/>
      <c r="Q373" s="6"/>
      <c r="R373" s="6" t="s">
        <v>1769</v>
      </c>
    </row>
    <row r="374" customFormat="false" ht="15" hidden="false" customHeight="false" outlineLevel="0" collapsed="false">
      <c r="A374" s="6" t="s">
        <v>1770</v>
      </c>
      <c r="B374" s="6" t="s">
        <v>174</v>
      </c>
      <c r="C374" s="6" t="s">
        <v>65</v>
      </c>
      <c r="D374" s="6" t="s">
        <v>1771</v>
      </c>
      <c r="E374" s="6" t="s">
        <v>1772</v>
      </c>
      <c r="F374" s="6" t="n">
        <v>2025</v>
      </c>
      <c r="G374" s="6"/>
      <c r="H374" s="6" t="s">
        <v>1773</v>
      </c>
      <c r="I374" s="6"/>
      <c r="J374" s="6" t="s">
        <v>152</v>
      </c>
      <c r="K374" s="6"/>
      <c r="L374" s="6" t="s">
        <v>120</v>
      </c>
      <c r="M374" s="6"/>
      <c r="N374" s="6" t="s">
        <v>1774</v>
      </c>
      <c r="O374" s="6" t="s">
        <v>261</v>
      </c>
      <c r="P374" s="6" t="s">
        <v>1775</v>
      </c>
      <c r="Q374" s="6" t="s">
        <v>124</v>
      </c>
      <c r="R374" s="6" t="s">
        <v>1776</v>
      </c>
      <c r="S374" s="6" t="s">
        <v>126</v>
      </c>
    </row>
    <row r="375" customFormat="false" ht="15" hidden="false" customHeight="false" outlineLevel="0" collapsed="false">
      <c r="A375" s="6" t="s">
        <v>1777</v>
      </c>
      <c r="B375" s="6" t="s">
        <v>174</v>
      </c>
      <c r="C375" s="6" t="s">
        <v>65</v>
      </c>
      <c r="D375" s="6" t="s">
        <v>1778</v>
      </c>
      <c r="E375" s="6" t="s">
        <v>1779</v>
      </c>
      <c r="F375" s="6" t="n">
        <v>2021</v>
      </c>
      <c r="G375" s="6"/>
      <c r="H375" s="6" t="s">
        <v>1780</v>
      </c>
      <c r="I375" s="6"/>
      <c r="J375" s="6" t="s">
        <v>133</v>
      </c>
      <c r="K375" s="6" t="s">
        <v>77</v>
      </c>
      <c r="L375" s="6"/>
      <c r="M375" s="6"/>
      <c r="N375" s="6"/>
      <c r="O375" s="6"/>
      <c r="P375" s="6"/>
      <c r="Q375" s="6"/>
      <c r="R375" s="6" t="s">
        <v>187</v>
      </c>
    </row>
    <row r="376" customFormat="false" ht="15" hidden="false" customHeight="false" outlineLevel="0" collapsed="false">
      <c r="A376" s="6" t="s">
        <v>1781</v>
      </c>
      <c r="B376" s="6" t="s">
        <v>174</v>
      </c>
      <c r="C376" s="6" t="s">
        <v>65</v>
      </c>
      <c r="D376" s="6" t="s">
        <v>1782</v>
      </c>
      <c r="E376" s="6" t="s">
        <v>1783</v>
      </c>
      <c r="F376" s="6" t="n">
        <v>2022</v>
      </c>
      <c r="G376" s="6"/>
      <c r="H376" s="6" t="s">
        <v>1784</v>
      </c>
      <c r="I376" s="6"/>
      <c r="J376" s="6" t="s">
        <v>133</v>
      </c>
      <c r="K376" s="6" t="s">
        <v>77</v>
      </c>
      <c r="L376" s="6"/>
      <c r="M376" s="6"/>
      <c r="N376" s="6"/>
      <c r="O376" s="6"/>
      <c r="P376" s="6"/>
      <c r="Q376" s="6"/>
      <c r="R376" s="6" t="s">
        <v>187</v>
      </c>
    </row>
    <row r="377" customFormat="false" ht="15" hidden="false" customHeight="false" outlineLevel="0" collapsed="false">
      <c r="A377" s="6" t="s">
        <v>1785</v>
      </c>
      <c r="B377" s="6" t="s">
        <v>174</v>
      </c>
      <c r="C377" s="6" t="s">
        <v>65</v>
      </c>
      <c r="D377" s="6" t="s">
        <v>1786</v>
      </c>
      <c r="E377" s="6" t="s">
        <v>1787</v>
      </c>
      <c r="F377" s="6" t="n">
        <v>2025</v>
      </c>
      <c r="G377" s="6"/>
      <c r="H377" s="6" t="s">
        <v>1788</v>
      </c>
      <c r="I377" s="6"/>
      <c r="J377" s="6" t="s">
        <v>133</v>
      </c>
      <c r="K377" s="6" t="s">
        <v>91</v>
      </c>
      <c r="L377" s="6"/>
      <c r="M377" s="6"/>
      <c r="N377" s="6"/>
      <c r="O377" s="6"/>
      <c r="P377" s="6"/>
      <c r="Q377" s="6"/>
      <c r="R377" s="6" t="s">
        <v>1457</v>
      </c>
    </row>
    <row r="378" customFormat="false" ht="15" hidden="false" customHeight="false" outlineLevel="0" collapsed="false">
      <c r="A378" s="6" t="s">
        <v>1789</v>
      </c>
      <c r="B378" s="6" t="s">
        <v>174</v>
      </c>
      <c r="C378" s="6" t="s">
        <v>65</v>
      </c>
      <c r="D378" s="6" t="s">
        <v>1790</v>
      </c>
      <c r="E378" s="7" t="s">
        <v>1791</v>
      </c>
      <c r="F378" s="6" t="n">
        <v>2022</v>
      </c>
      <c r="G378" s="6"/>
      <c r="H378" s="6"/>
      <c r="I378" s="6"/>
      <c r="J378" s="6" t="s">
        <v>133</v>
      </c>
      <c r="K378" s="6" t="s">
        <v>89</v>
      </c>
      <c r="L378" s="6"/>
      <c r="M378" s="6"/>
      <c r="N378" s="6"/>
      <c r="O378" s="6"/>
      <c r="P378" s="6"/>
      <c r="Q378" s="6"/>
      <c r="R378" s="6" t="s">
        <v>247</v>
      </c>
    </row>
    <row r="379" customFormat="false" ht="15" hidden="false" customHeight="false" outlineLevel="0" collapsed="false">
      <c r="A379" s="6" t="s">
        <v>1792</v>
      </c>
      <c r="B379" s="6" t="s">
        <v>174</v>
      </c>
      <c r="C379" s="6" t="s">
        <v>65</v>
      </c>
      <c r="D379" s="6" t="s">
        <v>1793</v>
      </c>
      <c r="E379" s="6" t="s">
        <v>1794</v>
      </c>
      <c r="F379" s="6" t="n">
        <v>2026</v>
      </c>
      <c r="G379" s="6"/>
      <c r="H379" s="6" t="s">
        <v>1795</v>
      </c>
      <c r="I379" s="6"/>
      <c r="J379" s="6" t="s">
        <v>120</v>
      </c>
      <c r="K379" s="6"/>
      <c r="L379" s="6" t="s">
        <v>120</v>
      </c>
      <c r="M379" s="6"/>
      <c r="N379" s="6" t="s">
        <v>1796</v>
      </c>
      <c r="O379" s="6" t="s">
        <v>1428</v>
      </c>
      <c r="P379" s="6" t="s">
        <v>1797</v>
      </c>
      <c r="Q379" s="6" t="s">
        <v>137</v>
      </c>
      <c r="R379" s="6" t="s">
        <v>1798</v>
      </c>
      <c r="S379" s="6" t="s">
        <v>126</v>
      </c>
    </row>
    <row r="380" customFormat="false" ht="15" hidden="false" customHeight="false" outlineLevel="0" collapsed="false">
      <c r="A380" s="6" t="s">
        <v>1799</v>
      </c>
      <c r="B380" s="6" t="s">
        <v>174</v>
      </c>
      <c r="C380" s="6" t="s">
        <v>65</v>
      </c>
      <c r="D380" s="6" t="s">
        <v>1800</v>
      </c>
      <c r="E380" s="6" t="s">
        <v>1801</v>
      </c>
      <c r="F380" s="6" t="n">
        <v>2024</v>
      </c>
      <c r="G380" s="6"/>
      <c r="H380" s="6" t="s">
        <v>1802</v>
      </c>
      <c r="I380" s="6"/>
      <c r="J380" s="6" t="s">
        <v>120</v>
      </c>
      <c r="K380" s="6"/>
      <c r="L380" s="6" t="s">
        <v>120</v>
      </c>
      <c r="M380" s="6"/>
      <c r="N380" s="6" t="s">
        <v>1803</v>
      </c>
      <c r="O380" s="6" t="s">
        <v>179</v>
      </c>
      <c r="P380" s="6" t="s">
        <v>1804</v>
      </c>
      <c r="Q380" s="6" t="s">
        <v>124</v>
      </c>
      <c r="R380" s="6" t="s">
        <v>1805</v>
      </c>
      <c r="S380" s="6" t="s">
        <v>126</v>
      </c>
    </row>
    <row r="381" customFormat="false" ht="15" hidden="false" customHeight="false" outlineLevel="0" collapsed="false">
      <c r="A381" s="6" t="s">
        <v>1806</v>
      </c>
      <c r="B381" s="6" t="s">
        <v>174</v>
      </c>
      <c r="C381" s="6" t="s">
        <v>65</v>
      </c>
      <c r="D381" s="6" t="s">
        <v>1807</v>
      </c>
      <c r="E381" s="6" t="s">
        <v>1808</v>
      </c>
      <c r="F381" s="6" t="n">
        <v>2017</v>
      </c>
      <c r="G381" s="6"/>
      <c r="H381" s="6" t="s">
        <v>1809</v>
      </c>
      <c r="I381" s="6"/>
      <c r="J381" s="6" t="s">
        <v>133</v>
      </c>
      <c r="K381" s="6" t="s">
        <v>77</v>
      </c>
      <c r="L381" s="6"/>
      <c r="M381" s="6"/>
      <c r="N381" s="6"/>
      <c r="O381" s="6"/>
      <c r="P381" s="6"/>
      <c r="Q381" s="6"/>
      <c r="R381" s="6" t="s">
        <v>187</v>
      </c>
    </row>
    <row r="382" customFormat="false" ht="15" hidden="false" customHeight="false" outlineLevel="0" collapsed="false">
      <c r="A382" s="6" t="s">
        <v>1810</v>
      </c>
      <c r="B382" s="6" t="s">
        <v>174</v>
      </c>
      <c r="C382" s="6" t="s">
        <v>65</v>
      </c>
      <c r="D382" s="6" t="s">
        <v>1811</v>
      </c>
      <c r="E382" s="6" t="s">
        <v>1812</v>
      </c>
      <c r="F382" s="6" t="n">
        <v>2026</v>
      </c>
      <c r="G382" s="6"/>
      <c r="H382" s="6"/>
      <c r="I382" s="6"/>
      <c r="J382" s="6" t="s">
        <v>133</v>
      </c>
      <c r="K382" s="6" t="s">
        <v>91</v>
      </c>
      <c r="L382" s="6"/>
      <c r="M382" s="6"/>
      <c r="N382" s="6"/>
      <c r="O382" s="6"/>
      <c r="P382" s="6"/>
      <c r="Q382" s="6"/>
      <c r="R382" s="6" t="s">
        <v>1813</v>
      </c>
    </row>
    <row r="383" customFormat="false" ht="15" hidden="false" customHeight="false" outlineLevel="0" collapsed="false">
      <c r="A383" s="6" t="s">
        <v>1814</v>
      </c>
      <c r="B383" s="6" t="s">
        <v>174</v>
      </c>
      <c r="C383" s="6" t="s">
        <v>65</v>
      </c>
      <c r="D383" s="6" t="s">
        <v>1811</v>
      </c>
      <c r="E383" s="6" t="s">
        <v>1815</v>
      </c>
      <c r="F383" s="6" t="n">
        <v>2026</v>
      </c>
      <c r="G383" s="6"/>
      <c r="H383" s="6" t="s">
        <v>1816</v>
      </c>
      <c r="I383" s="6" t="s">
        <v>1810</v>
      </c>
      <c r="J383" s="6" t="s">
        <v>133</v>
      </c>
      <c r="K383" s="6" t="s">
        <v>83</v>
      </c>
      <c r="L383" s="6"/>
      <c r="M383" s="6"/>
      <c r="N383" s="6"/>
      <c r="O383" s="6"/>
      <c r="P383" s="6"/>
      <c r="Q383" s="6"/>
      <c r="R383" s="6" t="s">
        <v>230</v>
      </c>
    </row>
    <row r="384" customFormat="false" ht="15" hidden="false" customHeight="false" outlineLevel="0" collapsed="false">
      <c r="A384" s="6" t="s">
        <v>1817</v>
      </c>
      <c r="B384" s="6" t="s">
        <v>174</v>
      </c>
      <c r="C384" s="6" t="s">
        <v>65</v>
      </c>
      <c r="D384" s="6" t="s">
        <v>1818</v>
      </c>
      <c r="E384" s="6" t="s">
        <v>1819</v>
      </c>
      <c r="F384" s="6" t="n">
        <v>2025</v>
      </c>
      <c r="G384" s="6"/>
      <c r="H384" s="6" t="s">
        <v>1820</v>
      </c>
      <c r="I384" s="6"/>
      <c r="J384" s="6" t="s">
        <v>133</v>
      </c>
      <c r="K384" s="6" t="s">
        <v>89</v>
      </c>
      <c r="L384" s="6"/>
      <c r="M384" s="6"/>
      <c r="N384" s="6"/>
      <c r="O384" s="6"/>
      <c r="P384" s="6"/>
      <c r="Q384" s="6"/>
      <c r="R384" s="6" t="s">
        <v>247</v>
      </c>
    </row>
    <row r="385" customFormat="false" ht="15" hidden="false" customHeight="false" outlineLevel="0" collapsed="false">
      <c r="A385" s="6" t="s">
        <v>1821</v>
      </c>
      <c r="B385" s="6" t="s">
        <v>174</v>
      </c>
      <c r="C385" s="6" t="s">
        <v>65</v>
      </c>
      <c r="D385" s="6" t="s">
        <v>1822</v>
      </c>
      <c r="E385" s="6" t="s">
        <v>1823</v>
      </c>
      <c r="F385" s="6" t="n">
        <v>2026</v>
      </c>
      <c r="G385" s="6"/>
      <c r="H385" s="6" t="s">
        <v>1824</v>
      </c>
      <c r="I385" s="6"/>
      <c r="J385" s="6" t="s">
        <v>133</v>
      </c>
      <c r="K385" s="6" t="s">
        <v>77</v>
      </c>
      <c r="L385" s="6"/>
      <c r="M385" s="6"/>
      <c r="N385" s="6"/>
      <c r="O385" s="6"/>
      <c r="P385" s="6"/>
      <c r="Q385" s="6"/>
      <c r="R385" s="6" t="s">
        <v>187</v>
      </c>
    </row>
    <row r="386" customFormat="false" ht="15" hidden="false" customHeight="false" outlineLevel="0" collapsed="false">
      <c r="A386" s="6" t="s">
        <v>1825</v>
      </c>
      <c r="B386" s="6" t="s">
        <v>174</v>
      </c>
      <c r="C386" s="6" t="s">
        <v>65</v>
      </c>
      <c r="D386" s="6" t="s">
        <v>1826</v>
      </c>
      <c r="E386" s="6" t="s">
        <v>1827</v>
      </c>
      <c r="F386" s="6" t="n">
        <v>2018</v>
      </c>
      <c r="G386" s="6"/>
      <c r="H386" s="6" t="s">
        <v>1828</v>
      </c>
      <c r="I386" s="6"/>
      <c r="J386" s="6" t="s">
        <v>152</v>
      </c>
      <c r="K386" s="6"/>
      <c r="L386" s="6" t="s">
        <v>120</v>
      </c>
      <c r="M386" s="6"/>
      <c r="N386" s="6" t="s">
        <v>1829</v>
      </c>
      <c r="O386" s="6" t="s">
        <v>179</v>
      </c>
      <c r="P386" s="6" t="s">
        <v>1830</v>
      </c>
      <c r="Q386" s="6" t="s">
        <v>124</v>
      </c>
      <c r="R386" s="6" t="s">
        <v>1831</v>
      </c>
      <c r="S386" s="6" t="s">
        <v>182</v>
      </c>
    </row>
    <row r="387" customFormat="false" ht="15" hidden="false" customHeight="false" outlineLevel="0" collapsed="false">
      <c r="A387" s="6" t="s">
        <v>1832</v>
      </c>
      <c r="B387" s="6" t="s">
        <v>174</v>
      </c>
      <c r="C387" s="6" t="s">
        <v>65</v>
      </c>
      <c r="D387" s="6" t="s">
        <v>1811</v>
      </c>
      <c r="E387" s="6" t="s">
        <v>1812</v>
      </c>
      <c r="F387" s="6" t="n">
        <v>2026</v>
      </c>
      <c r="G387" s="6"/>
      <c r="H387" s="6" t="s">
        <v>1833</v>
      </c>
      <c r="I387" s="6" t="s">
        <v>1810</v>
      </c>
      <c r="J387" s="6" t="s">
        <v>133</v>
      </c>
      <c r="K387" s="6" t="s">
        <v>83</v>
      </c>
      <c r="L387" s="6"/>
      <c r="M387" s="6"/>
      <c r="N387" s="6"/>
      <c r="O387" s="6"/>
      <c r="P387" s="6"/>
      <c r="Q387" s="6"/>
      <c r="R387" s="6" t="s">
        <v>230</v>
      </c>
    </row>
    <row r="388" customFormat="false" ht="15" hidden="false" customHeight="false" outlineLevel="0" collapsed="false">
      <c r="A388" s="6" t="s">
        <v>1834</v>
      </c>
      <c r="B388" s="6" t="s">
        <v>174</v>
      </c>
      <c r="C388" s="6" t="s">
        <v>65</v>
      </c>
      <c r="D388" s="6" t="s">
        <v>1835</v>
      </c>
      <c r="E388" s="6" t="s">
        <v>1836</v>
      </c>
      <c r="F388" s="6" t="n">
        <v>2025</v>
      </c>
      <c r="G388" s="6"/>
      <c r="H388" s="6" t="s">
        <v>1837</v>
      </c>
      <c r="I388" s="6"/>
      <c r="J388" s="6" t="s">
        <v>133</v>
      </c>
      <c r="K388" s="6" t="s">
        <v>77</v>
      </c>
      <c r="L388" s="6"/>
      <c r="M388" s="6"/>
      <c r="N388" s="6"/>
      <c r="O388" s="6"/>
      <c r="P388" s="6"/>
      <c r="Q388" s="6"/>
      <c r="R388" s="6" t="s">
        <v>187</v>
      </c>
    </row>
    <row r="389" customFormat="false" ht="15" hidden="false" customHeight="false" outlineLevel="0" collapsed="false">
      <c r="A389" s="6" t="s">
        <v>1838</v>
      </c>
      <c r="B389" s="6" t="s">
        <v>174</v>
      </c>
      <c r="C389" s="6" t="s">
        <v>65</v>
      </c>
      <c r="D389" s="6" t="s">
        <v>1839</v>
      </c>
      <c r="E389" s="6" t="s">
        <v>1840</v>
      </c>
      <c r="F389" s="6" t="n">
        <v>2023</v>
      </c>
      <c r="G389" s="6"/>
      <c r="H389" s="6" t="s">
        <v>1841</v>
      </c>
      <c r="I389" s="6"/>
      <c r="J389" s="6" t="s">
        <v>133</v>
      </c>
      <c r="K389" s="6" t="s">
        <v>77</v>
      </c>
      <c r="L389" s="6"/>
      <c r="M389" s="6"/>
      <c r="N389" s="6"/>
      <c r="O389" s="6"/>
      <c r="P389" s="6"/>
      <c r="Q389" s="6"/>
      <c r="R389" s="6" t="s">
        <v>187</v>
      </c>
    </row>
    <row r="390" customFormat="false" ht="15" hidden="false" customHeight="false" outlineLevel="0" collapsed="false">
      <c r="A390" s="6" t="s">
        <v>1842</v>
      </c>
      <c r="B390" s="6" t="s">
        <v>174</v>
      </c>
      <c r="C390" s="6" t="s">
        <v>65</v>
      </c>
      <c r="D390" s="6" t="s">
        <v>1843</v>
      </c>
      <c r="E390" s="6" t="s">
        <v>1844</v>
      </c>
      <c r="F390" s="6" t="n">
        <v>2025</v>
      </c>
      <c r="G390" s="6"/>
      <c r="H390" s="6" t="s">
        <v>1845</v>
      </c>
      <c r="I390" s="6"/>
      <c r="J390" s="6" t="s">
        <v>120</v>
      </c>
      <c r="K390" s="6"/>
      <c r="L390" s="6" t="s">
        <v>133</v>
      </c>
      <c r="M390" s="6" t="s">
        <v>91</v>
      </c>
      <c r="N390" s="6" t="s">
        <v>1846</v>
      </c>
      <c r="O390" s="6" t="s">
        <v>261</v>
      </c>
      <c r="P390" s="6" t="s">
        <v>1847</v>
      </c>
      <c r="Q390" s="6" t="s">
        <v>124</v>
      </c>
      <c r="R390" s="6" t="s">
        <v>1848</v>
      </c>
      <c r="S390" s="6" t="s">
        <v>126</v>
      </c>
    </row>
    <row r="391" customFormat="false" ht="15" hidden="false" customHeight="false" outlineLevel="0" collapsed="false">
      <c r="A391" s="6" t="s">
        <v>1849</v>
      </c>
      <c r="B391" s="6" t="s">
        <v>174</v>
      </c>
      <c r="C391" s="6" t="s">
        <v>65</v>
      </c>
      <c r="D391" s="6" t="s">
        <v>1850</v>
      </c>
      <c r="E391" s="6" t="s">
        <v>1851</v>
      </c>
      <c r="F391" s="6" t="n">
        <v>2026</v>
      </c>
      <c r="G391" s="6"/>
      <c r="H391" s="6" t="s">
        <v>1852</v>
      </c>
      <c r="I391" s="6"/>
      <c r="J391" s="6" t="s">
        <v>133</v>
      </c>
      <c r="K391" s="6" t="s">
        <v>77</v>
      </c>
      <c r="L391" s="6"/>
      <c r="M391" s="6"/>
      <c r="N391" s="6"/>
      <c r="O391" s="6"/>
      <c r="P391" s="6"/>
      <c r="Q391" s="6"/>
      <c r="R391" s="6" t="s">
        <v>187</v>
      </c>
    </row>
    <row r="392" customFormat="false" ht="15" hidden="false" customHeight="false" outlineLevel="0" collapsed="false">
      <c r="A392" s="6" t="s">
        <v>1853</v>
      </c>
      <c r="B392" s="6" t="s">
        <v>174</v>
      </c>
      <c r="C392" s="6" t="s">
        <v>65</v>
      </c>
      <c r="D392" s="6" t="s">
        <v>1854</v>
      </c>
      <c r="E392" s="6" t="s">
        <v>1855</v>
      </c>
      <c r="F392" s="6" t="n">
        <v>2026</v>
      </c>
      <c r="G392" s="6"/>
      <c r="H392" s="6" t="s">
        <v>1856</v>
      </c>
      <c r="I392" s="6"/>
      <c r="J392" s="6" t="s">
        <v>152</v>
      </c>
      <c r="K392" s="6"/>
      <c r="L392" s="6" t="s">
        <v>133</v>
      </c>
      <c r="M392" s="6" t="s">
        <v>79</v>
      </c>
      <c r="N392" s="6" t="s">
        <v>1857</v>
      </c>
      <c r="O392" s="6" t="s">
        <v>115</v>
      </c>
      <c r="P392" s="6" t="s">
        <v>115</v>
      </c>
      <c r="Q392" s="6" t="s">
        <v>124</v>
      </c>
      <c r="R392" s="6" t="s">
        <v>1858</v>
      </c>
      <c r="S392" s="6" t="s">
        <v>182</v>
      </c>
    </row>
    <row r="393" customFormat="false" ht="15" hidden="false" customHeight="false" outlineLevel="0" collapsed="false">
      <c r="A393" s="6" t="s">
        <v>1859</v>
      </c>
      <c r="B393" s="6" t="s">
        <v>174</v>
      </c>
      <c r="C393" s="6" t="s">
        <v>65</v>
      </c>
      <c r="D393" s="6" t="s">
        <v>1860</v>
      </c>
      <c r="E393" s="6" t="s">
        <v>1861</v>
      </c>
      <c r="F393" s="6" t="n">
        <v>2019</v>
      </c>
      <c r="G393" s="6"/>
      <c r="H393" s="6" t="s">
        <v>1862</v>
      </c>
      <c r="I393" s="6"/>
      <c r="J393" s="6" t="s">
        <v>152</v>
      </c>
      <c r="K393" s="6"/>
      <c r="L393" s="6" t="s">
        <v>120</v>
      </c>
      <c r="M393" s="6"/>
      <c r="N393" s="6" t="s">
        <v>1863</v>
      </c>
      <c r="O393" s="6" t="s">
        <v>179</v>
      </c>
      <c r="P393" s="6" t="s">
        <v>1864</v>
      </c>
      <c r="Q393" s="6" t="s">
        <v>124</v>
      </c>
      <c r="R393" s="6" t="s">
        <v>1865</v>
      </c>
      <c r="S393" s="6" t="s">
        <v>182</v>
      </c>
    </row>
    <row r="394" customFormat="false" ht="15" hidden="false" customHeight="false" outlineLevel="0" collapsed="false">
      <c r="A394" s="6" t="s">
        <v>1866</v>
      </c>
      <c r="B394" s="6" t="s">
        <v>174</v>
      </c>
      <c r="C394" s="6" t="s">
        <v>65</v>
      </c>
      <c r="D394" s="6" t="s">
        <v>1867</v>
      </c>
      <c r="E394" s="6" t="s">
        <v>1868</v>
      </c>
      <c r="F394" s="6" t="n">
        <v>2026</v>
      </c>
      <c r="G394" s="6"/>
      <c r="H394" s="6" t="s">
        <v>1869</v>
      </c>
      <c r="I394" s="6"/>
      <c r="J394" s="6" t="s">
        <v>133</v>
      </c>
      <c r="K394" s="6" t="s">
        <v>89</v>
      </c>
      <c r="L394" s="6"/>
      <c r="M394" s="6"/>
      <c r="N394" s="6"/>
      <c r="O394" s="6"/>
      <c r="P394" s="6"/>
      <c r="Q394" s="6"/>
      <c r="R394" s="6" t="s">
        <v>247</v>
      </c>
    </row>
    <row r="395" customFormat="false" ht="15" hidden="false" customHeight="false" outlineLevel="0" collapsed="false">
      <c r="A395" s="6" t="s">
        <v>1870</v>
      </c>
      <c r="B395" s="6" t="s">
        <v>174</v>
      </c>
      <c r="C395" s="6" t="s">
        <v>65</v>
      </c>
      <c r="D395" s="6" t="s">
        <v>1871</v>
      </c>
      <c r="E395" s="6" t="s">
        <v>1872</v>
      </c>
      <c r="F395" s="6" t="n">
        <v>2026</v>
      </c>
      <c r="G395" s="6"/>
      <c r="H395" s="6" t="s">
        <v>1873</v>
      </c>
      <c r="I395" s="6"/>
      <c r="J395" s="6" t="s">
        <v>133</v>
      </c>
      <c r="K395" s="6" t="s">
        <v>77</v>
      </c>
      <c r="L395" s="6"/>
      <c r="M395" s="6"/>
      <c r="N395" s="6"/>
      <c r="O395" s="6"/>
      <c r="P395" s="6"/>
      <c r="Q395" s="6"/>
      <c r="R395" s="6" t="s">
        <v>187</v>
      </c>
    </row>
    <row r="396" customFormat="false" ht="15" hidden="false" customHeight="false" outlineLevel="0" collapsed="false">
      <c r="A396" s="6" t="s">
        <v>1874</v>
      </c>
      <c r="B396" s="6" t="s">
        <v>174</v>
      </c>
      <c r="C396" s="6" t="s">
        <v>65</v>
      </c>
      <c r="D396" s="6" t="s">
        <v>1875</v>
      </c>
      <c r="E396" s="6" t="s">
        <v>1876</v>
      </c>
      <c r="F396" s="6" t="n">
        <v>2022</v>
      </c>
      <c r="G396" s="6"/>
      <c r="H396" s="6" t="s">
        <v>1877</v>
      </c>
      <c r="I396" s="6"/>
      <c r="J396" s="6" t="s">
        <v>133</v>
      </c>
      <c r="K396" s="6" t="s">
        <v>89</v>
      </c>
      <c r="L396" s="6"/>
      <c r="M396" s="6"/>
      <c r="N396" s="6"/>
      <c r="O396" s="6"/>
      <c r="P396" s="6"/>
      <c r="Q396" s="6"/>
      <c r="R396" s="6" t="s">
        <v>247</v>
      </c>
    </row>
    <row r="397" customFormat="false" ht="15" hidden="false" customHeight="false" outlineLevel="0" collapsed="false">
      <c r="A397" s="6" t="s">
        <v>1878</v>
      </c>
      <c r="B397" s="6" t="s">
        <v>174</v>
      </c>
      <c r="C397" s="6" t="s">
        <v>65</v>
      </c>
      <c r="D397" s="6" t="s">
        <v>1879</v>
      </c>
      <c r="E397" s="6" t="s">
        <v>1880</v>
      </c>
      <c r="F397" s="6" t="n">
        <v>2026</v>
      </c>
      <c r="G397" s="6"/>
      <c r="H397" s="6" t="s">
        <v>1881</v>
      </c>
      <c r="I397" s="6"/>
      <c r="J397" s="6" t="s">
        <v>133</v>
      </c>
      <c r="K397" s="6" t="s">
        <v>77</v>
      </c>
      <c r="L397" s="6"/>
      <c r="M397" s="6"/>
      <c r="N397" s="6"/>
      <c r="O397" s="6"/>
      <c r="P397" s="6"/>
      <c r="Q397" s="6"/>
      <c r="R397" s="6" t="s">
        <v>187</v>
      </c>
    </row>
    <row r="398" customFormat="false" ht="15" hidden="false" customHeight="false" outlineLevel="0" collapsed="false">
      <c r="A398" s="6" t="s">
        <v>1882</v>
      </c>
      <c r="B398" s="6" t="s">
        <v>174</v>
      </c>
      <c r="C398" s="6" t="s">
        <v>65</v>
      </c>
      <c r="D398" s="6" t="s">
        <v>1501</v>
      </c>
      <c r="E398" s="6" t="s">
        <v>1502</v>
      </c>
      <c r="F398" s="6" t="n">
        <v>2026</v>
      </c>
      <c r="G398" s="6"/>
      <c r="H398" s="6" t="s">
        <v>1503</v>
      </c>
      <c r="I398" s="6" t="s">
        <v>1500</v>
      </c>
      <c r="J398" s="6" t="s">
        <v>133</v>
      </c>
      <c r="K398" s="6" t="s">
        <v>83</v>
      </c>
      <c r="L398" s="6"/>
      <c r="M398" s="6"/>
      <c r="N398" s="6"/>
      <c r="O398" s="6"/>
      <c r="P398" s="6"/>
      <c r="Q398" s="6"/>
      <c r="R398" s="6" t="s">
        <v>230</v>
      </c>
    </row>
    <row r="399" customFormat="false" ht="15" hidden="false" customHeight="false" outlineLevel="0" collapsed="false">
      <c r="A399" s="6" t="s">
        <v>1883</v>
      </c>
      <c r="B399" s="6" t="s">
        <v>174</v>
      </c>
      <c r="C399" s="6" t="s">
        <v>65</v>
      </c>
      <c r="D399" s="6" t="s">
        <v>1884</v>
      </c>
      <c r="E399" s="6" t="s">
        <v>1885</v>
      </c>
      <c r="F399" s="6" t="n">
        <v>2025</v>
      </c>
      <c r="G399" s="6"/>
      <c r="H399" s="6" t="s">
        <v>1886</v>
      </c>
      <c r="I399" s="6"/>
      <c r="J399" s="6" t="s">
        <v>120</v>
      </c>
      <c r="K399" s="6"/>
      <c r="L399" s="6" t="s">
        <v>133</v>
      </c>
      <c r="M399" s="6" t="s">
        <v>91</v>
      </c>
      <c r="N399" s="6" t="s">
        <v>1887</v>
      </c>
      <c r="O399" s="6" t="s">
        <v>115</v>
      </c>
      <c r="P399" s="6" t="s">
        <v>1888</v>
      </c>
      <c r="Q399" s="6" t="s">
        <v>124</v>
      </c>
      <c r="R399" s="6" t="s">
        <v>1889</v>
      </c>
      <c r="S399" s="6" t="s">
        <v>126</v>
      </c>
    </row>
    <row r="400" customFormat="false" ht="15" hidden="false" customHeight="false" outlineLevel="0" collapsed="false">
      <c r="A400" s="6" t="s">
        <v>1890</v>
      </c>
      <c r="B400" s="6" t="s">
        <v>174</v>
      </c>
      <c r="C400" s="6" t="s">
        <v>65</v>
      </c>
      <c r="D400" s="6" t="s">
        <v>1891</v>
      </c>
      <c r="E400" s="6" t="s">
        <v>1892</v>
      </c>
      <c r="F400" s="6" t="n">
        <v>2026</v>
      </c>
      <c r="G400" s="6"/>
      <c r="H400" s="6" t="s">
        <v>1893</v>
      </c>
      <c r="I400" s="6"/>
      <c r="J400" s="6" t="s">
        <v>133</v>
      </c>
      <c r="K400" s="6" t="s">
        <v>89</v>
      </c>
      <c r="L400" s="6"/>
      <c r="M400" s="6"/>
      <c r="N400" s="6"/>
      <c r="O400" s="6"/>
      <c r="P400" s="6"/>
      <c r="Q400" s="6"/>
      <c r="R400" s="6" t="s">
        <v>247</v>
      </c>
    </row>
    <row r="401" customFormat="false" ht="15" hidden="false" customHeight="false" outlineLevel="0" collapsed="false">
      <c r="A401" s="6" t="s">
        <v>1894</v>
      </c>
      <c r="B401" s="6" t="s">
        <v>174</v>
      </c>
      <c r="C401" s="6" t="s">
        <v>65</v>
      </c>
      <c r="D401" s="6" t="s">
        <v>1895</v>
      </c>
      <c r="E401" s="6" t="s">
        <v>1896</v>
      </c>
      <c r="F401" s="6" t="n">
        <v>2018</v>
      </c>
      <c r="G401" s="6"/>
      <c r="H401" s="6" t="s">
        <v>1897</v>
      </c>
      <c r="I401" s="6"/>
      <c r="J401" s="6" t="s">
        <v>133</v>
      </c>
      <c r="K401" s="6" t="s">
        <v>77</v>
      </c>
      <c r="L401" s="6"/>
      <c r="M401" s="6"/>
      <c r="N401" s="6"/>
      <c r="O401" s="6"/>
      <c r="P401" s="6"/>
      <c r="Q401" s="6"/>
      <c r="R401" s="6" t="s">
        <v>187</v>
      </c>
    </row>
    <row r="402" customFormat="false" ht="15" hidden="false" customHeight="false" outlineLevel="0" collapsed="false">
      <c r="A402" s="6" t="s">
        <v>1898</v>
      </c>
      <c r="B402" s="6" t="s">
        <v>174</v>
      </c>
      <c r="C402" s="6" t="s">
        <v>65</v>
      </c>
      <c r="D402" s="6" t="s">
        <v>1899</v>
      </c>
      <c r="E402" s="6" t="s">
        <v>1900</v>
      </c>
      <c r="F402" s="6" t="n">
        <v>2020</v>
      </c>
      <c r="G402" s="6"/>
      <c r="H402" s="6"/>
      <c r="I402" s="6"/>
      <c r="J402" s="6" t="s">
        <v>133</v>
      </c>
      <c r="K402" s="6" t="s">
        <v>89</v>
      </c>
      <c r="L402" s="6"/>
      <c r="M402" s="6"/>
      <c r="N402" s="6"/>
      <c r="O402" s="6"/>
      <c r="P402" s="6"/>
      <c r="Q402" s="6"/>
      <c r="R402" s="6" t="s">
        <v>247</v>
      </c>
    </row>
    <row r="403" customFormat="false" ht="15" hidden="false" customHeight="false" outlineLevel="0" collapsed="false">
      <c r="A403" s="6" t="s">
        <v>1901</v>
      </c>
      <c r="B403" s="6" t="s">
        <v>174</v>
      </c>
      <c r="C403" s="6" t="s">
        <v>65</v>
      </c>
      <c r="D403" s="6" t="s">
        <v>1902</v>
      </c>
      <c r="E403" s="6" t="s">
        <v>1903</v>
      </c>
      <c r="F403" s="6" t="n">
        <v>2026</v>
      </c>
      <c r="G403" s="6"/>
      <c r="H403" s="6" t="s">
        <v>1904</v>
      </c>
      <c r="I403" s="6"/>
      <c r="J403" s="6" t="s">
        <v>152</v>
      </c>
      <c r="K403" s="6"/>
      <c r="L403" s="6" t="s">
        <v>120</v>
      </c>
      <c r="M403" s="6"/>
      <c r="N403" s="6" t="s">
        <v>1905</v>
      </c>
      <c r="O403" s="6" t="s">
        <v>1906</v>
      </c>
      <c r="P403" s="6" t="s">
        <v>1907</v>
      </c>
      <c r="Q403" s="6" t="s">
        <v>124</v>
      </c>
      <c r="R403" s="6" t="s">
        <v>1908</v>
      </c>
      <c r="S403" s="6" t="s">
        <v>182</v>
      </c>
    </row>
    <row r="404" customFormat="false" ht="15" hidden="false" customHeight="false" outlineLevel="0" collapsed="false">
      <c r="A404" s="6" t="s">
        <v>1909</v>
      </c>
      <c r="B404" s="6" t="s">
        <v>174</v>
      </c>
      <c r="C404" s="6" t="s">
        <v>65</v>
      </c>
      <c r="D404" s="6" t="s">
        <v>1910</v>
      </c>
      <c r="E404" s="6" t="s">
        <v>1911</v>
      </c>
      <c r="F404" s="6" t="n">
        <v>2019</v>
      </c>
      <c r="G404" s="6"/>
      <c r="H404" s="6" t="s">
        <v>1912</v>
      </c>
      <c r="I404" s="6"/>
      <c r="J404" s="6" t="s">
        <v>133</v>
      </c>
      <c r="K404" s="6" t="s">
        <v>91</v>
      </c>
      <c r="L404" s="6"/>
      <c r="M404" s="6"/>
      <c r="N404" s="6"/>
      <c r="O404" s="6"/>
      <c r="P404" s="6"/>
      <c r="Q404" s="6"/>
      <c r="R404" s="6" t="s">
        <v>1457</v>
      </c>
    </row>
    <row r="405" customFormat="false" ht="15" hidden="false" customHeight="false" outlineLevel="0" collapsed="false">
      <c r="A405" s="6" t="s">
        <v>1913</v>
      </c>
      <c r="B405" s="6" t="s">
        <v>174</v>
      </c>
      <c r="C405" s="6" t="s">
        <v>65</v>
      </c>
      <c r="D405" s="6" t="s">
        <v>1914</v>
      </c>
      <c r="E405" s="6" t="s">
        <v>1915</v>
      </c>
      <c r="F405" s="6" t="n">
        <v>2019</v>
      </c>
      <c r="G405" s="6"/>
      <c r="H405" s="6"/>
      <c r="I405" s="6"/>
      <c r="J405" s="6" t="s">
        <v>133</v>
      </c>
      <c r="K405" s="6" t="s">
        <v>89</v>
      </c>
      <c r="L405" s="6"/>
      <c r="M405" s="6"/>
      <c r="N405" s="6"/>
      <c r="O405" s="6"/>
      <c r="P405" s="6"/>
      <c r="Q405" s="6"/>
      <c r="R405" s="6" t="s">
        <v>247</v>
      </c>
    </row>
    <row r="406" customFormat="false" ht="15" hidden="false" customHeight="false" outlineLevel="0" collapsed="false">
      <c r="A406" s="6" t="s">
        <v>1916</v>
      </c>
      <c r="B406" s="6" t="s">
        <v>174</v>
      </c>
      <c r="C406" s="6" t="s">
        <v>65</v>
      </c>
      <c r="D406" s="6" t="s">
        <v>1530</v>
      </c>
      <c r="E406" s="6" t="s">
        <v>1531</v>
      </c>
      <c r="F406" s="6" t="n">
        <v>2026</v>
      </c>
      <c r="G406" s="6"/>
      <c r="H406" s="6" t="s">
        <v>1532</v>
      </c>
      <c r="I406" s="6" t="s">
        <v>1529</v>
      </c>
      <c r="J406" s="6" t="s">
        <v>133</v>
      </c>
      <c r="K406" s="6" t="s">
        <v>83</v>
      </c>
      <c r="L406" s="6"/>
      <c r="M406" s="6"/>
      <c r="N406" s="6"/>
      <c r="O406" s="6"/>
      <c r="P406" s="6"/>
      <c r="Q406" s="6"/>
      <c r="R406" s="6" t="s">
        <v>230</v>
      </c>
    </row>
    <row r="407" customFormat="false" ht="15" hidden="false" customHeight="false" outlineLevel="0" collapsed="false">
      <c r="A407" s="6" t="s">
        <v>1917</v>
      </c>
      <c r="B407" s="6" t="s">
        <v>174</v>
      </c>
      <c r="C407" s="6" t="s">
        <v>65</v>
      </c>
      <c r="D407" s="6" t="s">
        <v>1918</v>
      </c>
      <c r="E407" s="6" t="s">
        <v>1919</v>
      </c>
      <c r="F407" s="6" t="n">
        <v>2024</v>
      </c>
      <c r="G407" s="6"/>
      <c r="H407" s="6" t="s">
        <v>1920</v>
      </c>
      <c r="I407" s="6"/>
      <c r="J407" s="6" t="s">
        <v>133</v>
      </c>
      <c r="K407" s="6" t="s">
        <v>89</v>
      </c>
      <c r="L407" s="6"/>
      <c r="M407" s="6"/>
      <c r="N407" s="6"/>
      <c r="O407" s="6"/>
      <c r="P407" s="6"/>
      <c r="Q407" s="6"/>
      <c r="R407" s="6" t="s">
        <v>247</v>
      </c>
    </row>
    <row r="408" customFormat="false" ht="15" hidden="false" customHeight="false" outlineLevel="0" collapsed="false">
      <c r="A408" s="6" t="s">
        <v>1921</v>
      </c>
      <c r="B408" s="6" t="s">
        <v>174</v>
      </c>
      <c r="C408" s="6" t="s">
        <v>65</v>
      </c>
      <c r="D408" s="6" t="s">
        <v>1922</v>
      </c>
      <c r="E408" s="6" t="s">
        <v>1923</v>
      </c>
      <c r="F408" s="6" t="n">
        <v>2026</v>
      </c>
      <c r="G408" s="6"/>
      <c r="H408" s="6" t="s">
        <v>1924</v>
      </c>
      <c r="I408" s="6"/>
      <c r="J408" s="6" t="s">
        <v>133</v>
      </c>
      <c r="K408" s="6" t="s">
        <v>89</v>
      </c>
      <c r="L408" s="6"/>
      <c r="M408" s="6"/>
      <c r="N408" s="6"/>
      <c r="O408" s="6"/>
      <c r="P408" s="6"/>
      <c r="Q408" s="6"/>
      <c r="R408" s="6" t="s">
        <v>247</v>
      </c>
    </row>
    <row r="409" customFormat="false" ht="15" hidden="false" customHeight="false" outlineLevel="0" collapsed="false">
      <c r="A409" s="6" t="s">
        <v>1925</v>
      </c>
      <c r="B409" s="6" t="s">
        <v>174</v>
      </c>
      <c r="C409" s="6" t="s">
        <v>65</v>
      </c>
      <c r="D409" s="6" t="s">
        <v>1926</v>
      </c>
      <c r="E409" s="6" t="s">
        <v>1927</v>
      </c>
      <c r="F409" s="6" t="n">
        <v>2026</v>
      </c>
      <c r="G409" s="6"/>
      <c r="H409" s="6" t="s">
        <v>1928</v>
      </c>
      <c r="I409" s="6"/>
      <c r="J409" s="6" t="s">
        <v>133</v>
      </c>
      <c r="K409" s="6" t="s">
        <v>77</v>
      </c>
      <c r="L409" s="6"/>
      <c r="M409" s="6"/>
      <c r="N409" s="6"/>
      <c r="O409" s="6"/>
      <c r="P409" s="6"/>
      <c r="Q409" s="6"/>
      <c r="R409" s="6" t="s">
        <v>187</v>
      </c>
    </row>
    <row r="410" customFormat="false" ht="15" hidden="false" customHeight="false" outlineLevel="0" collapsed="false">
      <c r="A410" s="6" t="s">
        <v>1929</v>
      </c>
      <c r="B410" s="6" t="s">
        <v>174</v>
      </c>
      <c r="C410" s="6" t="s">
        <v>65</v>
      </c>
      <c r="D410" s="6" t="s">
        <v>1930</v>
      </c>
      <c r="E410" s="6" t="s">
        <v>1931</v>
      </c>
      <c r="F410" s="6" t="n">
        <v>2020</v>
      </c>
      <c r="G410" s="6"/>
      <c r="H410" s="6"/>
      <c r="I410" s="6"/>
      <c r="J410" s="6" t="s">
        <v>133</v>
      </c>
      <c r="K410" s="6" t="s">
        <v>77</v>
      </c>
      <c r="L410" s="6"/>
      <c r="M410" s="6"/>
      <c r="N410" s="6"/>
      <c r="O410" s="6"/>
      <c r="P410" s="6"/>
      <c r="Q410" s="6"/>
      <c r="R410" s="6" t="s">
        <v>187</v>
      </c>
    </row>
    <row r="411" customFormat="false" ht="15" hidden="false" customHeight="false" outlineLevel="0" collapsed="false">
      <c r="A411" s="6" t="s">
        <v>1932</v>
      </c>
      <c r="B411" s="6" t="s">
        <v>174</v>
      </c>
      <c r="C411" s="6" t="s">
        <v>65</v>
      </c>
      <c r="D411" s="6" t="s">
        <v>1479</v>
      </c>
      <c r="E411" s="6" t="s">
        <v>1480</v>
      </c>
      <c r="F411" s="6" t="n">
        <v>2020</v>
      </c>
      <c r="G411" s="6"/>
      <c r="H411" s="6" t="s">
        <v>1481</v>
      </c>
      <c r="I411" s="6" t="s">
        <v>1478</v>
      </c>
      <c r="J411" s="6" t="s">
        <v>133</v>
      </c>
      <c r="K411" s="6" t="s">
        <v>83</v>
      </c>
      <c r="L411" s="6"/>
      <c r="M411" s="6"/>
      <c r="N411" s="6"/>
      <c r="O411" s="6"/>
      <c r="P411" s="6"/>
      <c r="Q411" s="6"/>
      <c r="R411" s="6" t="s">
        <v>230</v>
      </c>
    </row>
    <row r="412" customFormat="false" ht="15" hidden="false" customHeight="false" outlineLevel="0" collapsed="false">
      <c r="A412" s="6" t="s">
        <v>1933</v>
      </c>
      <c r="B412" s="6" t="s">
        <v>174</v>
      </c>
      <c r="C412" s="6" t="s">
        <v>65</v>
      </c>
      <c r="D412" s="6" t="s">
        <v>1934</v>
      </c>
      <c r="E412" s="6" t="s">
        <v>1935</v>
      </c>
      <c r="F412" s="6" t="n">
        <v>2024</v>
      </c>
      <c r="G412" s="6"/>
      <c r="H412" s="6" t="s">
        <v>1936</v>
      </c>
      <c r="I412" s="6"/>
      <c r="J412" s="6" t="s">
        <v>152</v>
      </c>
      <c r="K412" s="6"/>
      <c r="L412" s="6" t="s">
        <v>133</v>
      </c>
      <c r="M412" s="6" t="s">
        <v>89</v>
      </c>
      <c r="N412" s="6" t="s">
        <v>1937</v>
      </c>
      <c r="O412" s="6" t="s">
        <v>115</v>
      </c>
      <c r="P412" s="6" t="s">
        <v>115</v>
      </c>
      <c r="Q412" s="6" t="s">
        <v>124</v>
      </c>
      <c r="R412" s="6" t="s">
        <v>1938</v>
      </c>
      <c r="S412" s="6" t="s">
        <v>182</v>
      </c>
    </row>
    <row r="413" customFormat="false" ht="15" hidden="false" customHeight="false" outlineLevel="0" collapsed="false">
      <c r="A413" s="6" t="s">
        <v>1939</v>
      </c>
      <c r="B413" s="6" t="s">
        <v>174</v>
      </c>
      <c r="C413" s="6" t="s">
        <v>65</v>
      </c>
      <c r="D413" s="6" t="s">
        <v>1940</v>
      </c>
      <c r="E413" s="6" t="s">
        <v>1941</v>
      </c>
      <c r="F413" s="6" t="n">
        <v>2026</v>
      </c>
      <c r="G413" s="6"/>
      <c r="H413" s="6" t="s">
        <v>1942</v>
      </c>
      <c r="I413" s="6"/>
      <c r="J413" s="6" t="s">
        <v>133</v>
      </c>
      <c r="K413" s="6" t="s">
        <v>81</v>
      </c>
      <c r="L413" s="6"/>
      <c r="M413" s="6"/>
      <c r="N413" s="6"/>
      <c r="O413" s="6"/>
      <c r="P413" s="6"/>
      <c r="Q413" s="6"/>
      <c r="R413" s="6" t="s">
        <v>975</v>
      </c>
    </row>
    <row r="414" customFormat="false" ht="15" hidden="false" customHeight="false" outlineLevel="0" collapsed="false">
      <c r="A414" s="6" t="s">
        <v>1943</v>
      </c>
      <c r="B414" s="6" t="s">
        <v>174</v>
      </c>
      <c r="C414" s="6" t="s">
        <v>65</v>
      </c>
      <c r="D414" s="6" t="s">
        <v>1944</v>
      </c>
      <c r="E414" s="6" t="s">
        <v>1945</v>
      </c>
      <c r="F414" s="6" t="n">
        <v>2013</v>
      </c>
      <c r="G414" s="6"/>
      <c r="H414" s="6"/>
      <c r="I414" s="6"/>
      <c r="J414" s="6" t="s">
        <v>133</v>
      </c>
      <c r="K414" s="6" t="s">
        <v>77</v>
      </c>
      <c r="L414" s="6"/>
      <c r="M414" s="6"/>
      <c r="N414" s="6"/>
      <c r="O414" s="6"/>
      <c r="P414" s="6"/>
      <c r="Q414" s="6"/>
      <c r="R414" s="6" t="s">
        <v>187</v>
      </c>
    </row>
    <row r="415" customFormat="false" ht="15" hidden="false" customHeight="false" outlineLevel="0" collapsed="false">
      <c r="A415" s="6" t="s">
        <v>1946</v>
      </c>
      <c r="B415" s="6" t="s">
        <v>174</v>
      </c>
      <c r="C415" s="6" t="s">
        <v>65</v>
      </c>
      <c r="D415" s="6" t="s">
        <v>1947</v>
      </c>
      <c r="E415" s="6" t="s">
        <v>1948</v>
      </c>
      <c r="F415" s="6" t="n">
        <v>2026</v>
      </c>
      <c r="G415" s="6"/>
      <c r="H415" s="6"/>
      <c r="I415" s="6"/>
      <c r="J415" s="6" t="s">
        <v>133</v>
      </c>
      <c r="K415" s="6" t="s">
        <v>77</v>
      </c>
      <c r="L415" s="6"/>
      <c r="M415" s="6"/>
      <c r="N415" s="6"/>
      <c r="O415" s="6"/>
      <c r="P415" s="6"/>
      <c r="Q415" s="6"/>
      <c r="R415" s="6" t="s">
        <v>187</v>
      </c>
    </row>
    <row r="416" customFormat="false" ht="15" hidden="false" customHeight="false" outlineLevel="0" collapsed="false">
      <c r="A416" s="6" t="s">
        <v>1949</v>
      </c>
      <c r="B416" s="6" t="s">
        <v>174</v>
      </c>
      <c r="C416" s="6" t="s">
        <v>65</v>
      </c>
      <c r="D416" s="6" t="s">
        <v>1950</v>
      </c>
      <c r="E416" s="6" t="s">
        <v>1951</v>
      </c>
      <c r="F416" s="6" t="n">
        <v>2026</v>
      </c>
      <c r="G416" s="6"/>
      <c r="H416" s="6" t="s">
        <v>1952</v>
      </c>
      <c r="I416" s="6"/>
      <c r="J416" s="6" t="s">
        <v>133</v>
      </c>
      <c r="K416" s="6" t="s">
        <v>89</v>
      </c>
      <c r="L416" s="6"/>
      <c r="M416" s="6"/>
      <c r="N416" s="6"/>
      <c r="O416" s="6"/>
      <c r="P416" s="6"/>
      <c r="Q416" s="6"/>
      <c r="R416" s="6" t="s">
        <v>247</v>
      </c>
    </row>
    <row r="417" customFormat="false" ht="15" hidden="false" customHeight="false" outlineLevel="0" collapsed="false">
      <c r="A417" s="6" t="s">
        <v>1953</v>
      </c>
      <c r="B417" s="6" t="s">
        <v>174</v>
      </c>
      <c r="C417" s="6" t="s">
        <v>67</v>
      </c>
      <c r="D417" s="6" t="s">
        <v>1954</v>
      </c>
      <c r="E417" s="6" t="s">
        <v>1955</v>
      </c>
      <c r="F417" s="6" t="n">
        <v>2021</v>
      </c>
      <c r="G417" s="6"/>
      <c r="H417" s="6" t="s">
        <v>1956</v>
      </c>
      <c r="I417" s="6"/>
      <c r="J417" s="6" t="s">
        <v>133</v>
      </c>
      <c r="K417" s="6" t="s">
        <v>77</v>
      </c>
      <c r="L417" s="6"/>
      <c r="M417" s="6"/>
      <c r="N417" s="6"/>
      <c r="O417" s="6"/>
      <c r="P417" s="6"/>
      <c r="Q417" s="6"/>
      <c r="R417" s="6" t="s">
        <v>187</v>
      </c>
    </row>
    <row r="418" customFormat="false" ht="15" hidden="false" customHeight="false" outlineLevel="0" collapsed="false">
      <c r="A418" s="6" t="s">
        <v>1957</v>
      </c>
      <c r="B418" s="6" t="s">
        <v>174</v>
      </c>
      <c r="C418" s="6" t="s">
        <v>67</v>
      </c>
      <c r="D418" s="6" t="s">
        <v>1958</v>
      </c>
      <c r="E418" s="6" t="s">
        <v>1959</v>
      </c>
      <c r="F418" s="6" t="n">
        <v>2024</v>
      </c>
      <c r="G418" s="6"/>
      <c r="H418" s="6" t="s">
        <v>1960</v>
      </c>
      <c r="I418" s="6"/>
      <c r="J418" s="6" t="s">
        <v>120</v>
      </c>
      <c r="K418" s="6"/>
      <c r="L418" s="6" t="s">
        <v>120</v>
      </c>
      <c r="M418" s="6"/>
      <c r="N418" s="6" t="s">
        <v>1961</v>
      </c>
      <c r="O418" s="6" t="s">
        <v>135</v>
      </c>
      <c r="P418" s="6" t="s">
        <v>1962</v>
      </c>
      <c r="Q418" s="6" t="s">
        <v>137</v>
      </c>
      <c r="R418" s="6" t="s">
        <v>1963</v>
      </c>
      <c r="S418" s="6" t="s">
        <v>126</v>
      </c>
    </row>
    <row r="419" customFormat="false" ht="15" hidden="false" customHeight="false" outlineLevel="0" collapsed="false">
      <c r="A419" s="6" t="s">
        <v>1964</v>
      </c>
      <c r="B419" s="6" t="s">
        <v>174</v>
      </c>
      <c r="C419" s="6" t="s">
        <v>67</v>
      </c>
      <c r="D419" s="6" t="s">
        <v>306</v>
      </c>
      <c r="E419" s="6" t="s">
        <v>307</v>
      </c>
      <c r="F419" s="6" t="n">
        <v>2025</v>
      </c>
      <c r="G419" s="6"/>
      <c r="H419" s="6" t="s">
        <v>308</v>
      </c>
      <c r="I419" s="6" t="s">
        <v>305</v>
      </c>
      <c r="J419" s="6" t="s">
        <v>133</v>
      </c>
      <c r="K419" s="6" t="s">
        <v>83</v>
      </c>
      <c r="L419" s="6"/>
      <c r="M419" s="6"/>
      <c r="N419" s="6"/>
      <c r="O419" s="6"/>
      <c r="P419" s="6"/>
      <c r="Q419" s="6"/>
      <c r="R419" s="6" t="s">
        <v>230</v>
      </c>
    </row>
    <row r="420" customFormat="false" ht="15" hidden="false" customHeight="false" outlineLevel="0" collapsed="false">
      <c r="A420" s="6" t="s">
        <v>1965</v>
      </c>
      <c r="B420" s="6" t="s">
        <v>174</v>
      </c>
      <c r="C420" s="6" t="s">
        <v>67</v>
      </c>
      <c r="D420" s="6" t="s">
        <v>128</v>
      </c>
      <c r="E420" s="6" t="s">
        <v>289</v>
      </c>
      <c r="F420" s="6" t="n">
        <v>2024</v>
      </c>
      <c r="G420" s="6"/>
      <c r="H420" s="6" t="s">
        <v>290</v>
      </c>
      <c r="I420" s="6" t="s">
        <v>132</v>
      </c>
      <c r="J420" s="6" t="s">
        <v>133</v>
      </c>
      <c r="K420" s="6" t="s">
        <v>83</v>
      </c>
      <c r="L420" s="6"/>
      <c r="M420" s="6"/>
      <c r="N420" s="6"/>
      <c r="O420" s="6"/>
      <c r="P420" s="6"/>
      <c r="Q420" s="6"/>
      <c r="R420" s="6" t="s">
        <v>230</v>
      </c>
    </row>
    <row r="421" customFormat="false" ht="15" hidden="false" customHeight="false" outlineLevel="0" collapsed="false">
      <c r="A421" s="6" t="s">
        <v>1966</v>
      </c>
      <c r="B421" s="6" t="s">
        <v>174</v>
      </c>
      <c r="C421" s="6" t="s">
        <v>67</v>
      </c>
      <c r="D421" s="6" t="s">
        <v>1967</v>
      </c>
      <c r="E421" s="6" t="s">
        <v>1968</v>
      </c>
      <c r="F421" s="6" t="n">
        <v>2026</v>
      </c>
      <c r="G421" s="6"/>
      <c r="H421" s="6" t="s">
        <v>1969</v>
      </c>
      <c r="I421" s="6"/>
      <c r="J421" s="6" t="s">
        <v>120</v>
      </c>
      <c r="K421" s="6"/>
      <c r="L421" s="6" t="s">
        <v>120</v>
      </c>
      <c r="M421" s="6"/>
      <c r="N421" s="6" t="s">
        <v>1970</v>
      </c>
      <c r="O421" s="6" t="s">
        <v>135</v>
      </c>
      <c r="P421" s="6" t="s">
        <v>1971</v>
      </c>
      <c r="Q421" s="6" t="s">
        <v>137</v>
      </c>
      <c r="R421" s="6" t="s">
        <v>1972</v>
      </c>
      <c r="S421" s="6" t="s">
        <v>126</v>
      </c>
    </row>
    <row r="422" customFormat="false" ht="15" hidden="false" customHeight="false" outlineLevel="0" collapsed="false">
      <c r="A422" s="6" t="s">
        <v>1973</v>
      </c>
      <c r="B422" s="6" t="s">
        <v>174</v>
      </c>
      <c r="C422" s="6" t="s">
        <v>67</v>
      </c>
      <c r="D422" s="6" t="s">
        <v>404</v>
      </c>
      <c r="E422" s="6" t="s">
        <v>405</v>
      </c>
      <c r="F422" s="6" t="n">
        <v>2023</v>
      </c>
      <c r="G422" s="6"/>
      <c r="H422" s="6" t="s">
        <v>406</v>
      </c>
      <c r="I422" s="6" t="s">
        <v>403</v>
      </c>
      <c r="J422" s="6" t="s">
        <v>133</v>
      </c>
      <c r="K422" s="6" t="s">
        <v>83</v>
      </c>
      <c r="L422" s="6"/>
      <c r="M422" s="6"/>
      <c r="N422" s="6"/>
      <c r="O422" s="6"/>
      <c r="P422" s="6"/>
      <c r="Q422" s="6"/>
      <c r="R422" s="6" t="s">
        <v>230</v>
      </c>
    </row>
    <row r="423" customFormat="false" ht="15" hidden="false" customHeight="false" outlineLevel="0" collapsed="false">
      <c r="A423" s="6" t="s">
        <v>1974</v>
      </c>
      <c r="B423" s="6" t="s">
        <v>174</v>
      </c>
      <c r="C423" s="6" t="s">
        <v>67</v>
      </c>
      <c r="D423" s="6" t="s">
        <v>1975</v>
      </c>
      <c r="E423" s="6" t="s">
        <v>1976</v>
      </c>
      <c r="F423" s="6" t="n">
        <v>2016</v>
      </c>
      <c r="G423" s="6"/>
      <c r="H423" s="6" t="s">
        <v>1977</v>
      </c>
      <c r="I423" s="6"/>
      <c r="J423" s="6" t="s">
        <v>133</v>
      </c>
      <c r="K423" s="6" t="s">
        <v>77</v>
      </c>
      <c r="L423" s="6"/>
      <c r="M423" s="6"/>
      <c r="N423" s="6"/>
      <c r="O423" s="6"/>
      <c r="P423" s="6"/>
      <c r="Q423" s="6"/>
      <c r="R423" s="6" t="s">
        <v>187</v>
      </c>
    </row>
    <row r="424" customFormat="false" ht="15" hidden="false" customHeight="false" outlineLevel="0" collapsed="false">
      <c r="A424" s="6" t="s">
        <v>1978</v>
      </c>
      <c r="B424" s="6" t="s">
        <v>174</v>
      </c>
      <c r="C424" s="6" t="s">
        <v>67</v>
      </c>
      <c r="D424" s="6" t="s">
        <v>1979</v>
      </c>
      <c r="E424" s="6" t="s">
        <v>1980</v>
      </c>
      <c r="F424" s="6" t="n">
        <v>2015</v>
      </c>
      <c r="G424" s="6"/>
      <c r="H424" s="6" t="s">
        <v>1981</v>
      </c>
      <c r="I424" s="6"/>
      <c r="J424" s="6" t="s">
        <v>133</v>
      </c>
      <c r="K424" s="6" t="s">
        <v>77</v>
      </c>
      <c r="L424" s="6"/>
      <c r="M424" s="6"/>
      <c r="N424" s="6"/>
      <c r="O424" s="6"/>
      <c r="P424" s="6"/>
      <c r="Q424" s="6"/>
      <c r="R424" s="6" t="s">
        <v>187</v>
      </c>
    </row>
    <row r="425" customFormat="false" ht="15" hidden="false" customHeight="false" outlineLevel="0" collapsed="false">
      <c r="A425" s="6" t="s">
        <v>1982</v>
      </c>
      <c r="B425" s="6" t="s">
        <v>174</v>
      </c>
      <c r="C425" s="6" t="s">
        <v>67</v>
      </c>
      <c r="D425" s="6" t="s">
        <v>426</v>
      </c>
      <c r="E425" s="6" t="s">
        <v>427</v>
      </c>
      <c r="F425" s="6" t="n">
        <v>2026</v>
      </c>
      <c r="G425" s="6"/>
      <c r="H425" s="6" t="s">
        <v>428</v>
      </c>
      <c r="I425" s="6" t="s">
        <v>425</v>
      </c>
      <c r="J425" s="6" t="s">
        <v>133</v>
      </c>
      <c r="K425" s="6" t="s">
        <v>83</v>
      </c>
      <c r="L425" s="6"/>
      <c r="M425" s="6"/>
      <c r="N425" s="6"/>
      <c r="O425" s="6"/>
      <c r="P425" s="6"/>
      <c r="Q425" s="6"/>
      <c r="R425" s="6" t="s">
        <v>230</v>
      </c>
    </row>
    <row r="426" customFormat="false" ht="15" hidden="false" customHeight="false" outlineLevel="0" collapsed="false">
      <c r="A426" s="6" t="s">
        <v>1983</v>
      </c>
      <c r="B426" s="6" t="s">
        <v>174</v>
      </c>
      <c r="C426" s="6" t="s">
        <v>67</v>
      </c>
      <c r="D426" s="6" t="s">
        <v>1984</v>
      </c>
      <c r="E426" s="6" t="s">
        <v>1985</v>
      </c>
      <c r="F426" s="6" t="n">
        <v>2023</v>
      </c>
      <c r="G426" s="6"/>
      <c r="H426" s="6" t="s">
        <v>1986</v>
      </c>
      <c r="I426" s="6"/>
      <c r="J426" s="6" t="s">
        <v>120</v>
      </c>
      <c r="K426" s="6"/>
      <c r="L426" s="6" t="s">
        <v>120</v>
      </c>
      <c r="M426" s="6"/>
      <c r="N426" s="6" t="s">
        <v>1987</v>
      </c>
      <c r="O426" s="6" t="s">
        <v>135</v>
      </c>
      <c r="P426" s="6" t="s">
        <v>1988</v>
      </c>
      <c r="Q426" s="6" t="s">
        <v>137</v>
      </c>
      <c r="R426" s="6" t="s">
        <v>1989</v>
      </c>
      <c r="S426" s="6" t="s">
        <v>126</v>
      </c>
    </row>
    <row r="427" customFormat="false" ht="15" hidden="false" customHeight="false" outlineLevel="0" collapsed="false">
      <c r="A427" s="6" t="s">
        <v>1990</v>
      </c>
      <c r="B427" s="6" t="s">
        <v>174</v>
      </c>
      <c r="C427" s="6" t="s">
        <v>67</v>
      </c>
      <c r="D427" s="6" t="s">
        <v>1991</v>
      </c>
      <c r="E427" s="6" t="s">
        <v>1992</v>
      </c>
      <c r="F427" s="6" t="n">
        <v>2026</v>
      </c>
      <c r="G427" s="6"/>
      <c r="H427" s="6" t="s">
        <v>1993</v>
      </c>
      <c r="I427" s="6"/>
      <c r="J427" s="6" t="s">
        <v>120</v>
      </c>
      <c r="K427" s="6"/>
      <c r="L427" s="6" t="s">
        <v>120</v>
      </c>
      <c r="M427" s="6"/>
      <c r="N427" s="6" t="s">
        <v>1994</v>
      </c>
      <c r="O427" s="6" t="s">
        <v>135</v>
      </c>
      <c r="P427" s="6" t="s">
        <v>145</v>
      </c>
      <c r="Q427" s="6" t="s">
        <v>137</v>
      </c>
      <c r="R427" s="6" t="s">
        <v>1995</v>
      </c>
      <c r="S427" s="6" t="s">
        <v>126</v>
      </c>
    </row>
    <row r="428" customFormat="false" ht="15" hidden="false" customHeight="false" outlineLevel="0" collapsed="false">
      <c r="A428" s="6" t="s">
        <v>1996</v>
      </c>
      <c r="B428" s="6" t="s">
        <v>174</v>
      </c>
      <c r="C428" s="6" t="s">
        <v>67</v>
      </c>
      <c r="D428" s="6" t="s">
        <v>1997</v>
      </c>
      <c r="E428" s="6" t="s">
        <v>1998</v>
      </c>
      <c r="F428" s="6" t="n">
        <v>2019</v>
      </c>
      <c r="G428" s="6"/>
      <c r="H428" s="6" t="s">
        <v>1999</v>
      </c>
      <c r="I428" s="6"/>
      <c r="J428" s="6" t="s">
        <v>133</v>
      </c>
      <c r="K428" s="6" t="s">
        <v>77</v>
      </c>
      <c r="L428" s="6"/>
      <c r="M428" s="6"/>
      <c r="N428" s="6"/>
      <c r="O428" s="6"/>
      <c r="P428" s="6"/>
      <c r="Q428" s="6"/>
      <c r="R428" s="6" t="s">
        <v>187</v>
      </c>
    </row>
    <row r="429" customFormat="false" ht="15" hidden="false" customHeight="false" outlineLevel="0" collapsed="false">
      <c r="A429" s="6" t="s">
        <v>2000</v>
      </c>
      <c r="B429" s="6" t="s">
        <v>174</v>
      </c>
      <c r="C429" s="6" t="s">
        <v>67</v>
      </c>
      <c r="D429" s="6" t="s">
        <v>2001</v>
      </c>
      <c r="E429" s="6" t="s">
        <v>2002</v>
      </c>
      <c r="F429" s="6" t="n">
        <v>2019</v>
      </c>
      <c r="G429" s="6"/>
      <c r="H429" s="6" t="s">
        <v>2003</v>
      </c>
      <c r="I429" s="6"/>
      <c r="J429" s="6" t="s">
        <v>133</v>
      </c>
      <c r="K429" s="6" t="s">
        <v>77</v>
      </c>
      <c r="L429" s="6"/>
      <c r="M429" s="6"/>
      <c r="N429" s="6"/>
      <c r="O429" s="6"/>
      <c r="P429" s="6"/>
      <c r="Q429" s="6"/>
      <c r="R429" s="6" t="s">
        <v>187</v>
      </c>
    </row>
    <row r="430" customFormat="false" ht="15" hidden="false" customHeight="false" outlineLevel="0" collapsed="false">
      <c r="A430" s="6" t="s">
        <v>2004</v>
      </c>
      <c r="B430" s="6" t="s">
        <v>174</v>
      </c>
      <c r="C430" s="6" t="s">
        <v>67</v>
      </c>
      <c r="D430" s="6" t="s">
        <v>2005</v>
      </c>
      <c r="E430" s="6" t="s">
        <v>2006</v>
      </c>
      <c r="F430" s="6" t="n">
        <v>2016</v>
      </c>
      <c r="G430" s="6"/>
      <c r="H430" s="6" t="s">
        <v>2007</v>
      </c>
      <c r="I430" s="6"/>
      <c r="J430" s="6" t="s">
        <v>133</v>
      </c>
      <c r="K430" s="6" t="s">
        <v>77</v>
      </c>
      <c r="L430" s="6"/>
      <c r="M430" s="6"/>
      <c r="N430" s="6"/>
      <c r="O430" s="6"/>
      <c r="P430" s="6"/>
      <c r="Q430" s="6"/>
      <c r="R430" s="6" t="s">
        <v>187</v>
      </c>
    </row>
    <row r="431" customFormat="false" ht="15" hidden="false" customHeight="false" outlineLevel="0" collapsed="false">
      <c r="A431" s="6" t="s">
        <v>2008</v>
      </c>
      <c r="B431" s="6" t="s">
        <v>174</v>
      </c>
      <c r="C431" s="6" t="s">
        <v>67</v>
      </c>
      <c r="D431" s="6" t="s">
        <v>2009</v>
      </c>
      <c r="E431" s="6" t="s">
        <v>2010</v>
      </c>
      <c r="F431" s="6" t="n">
        <v>2021</v>
      </c>
      <c r="G431" s="6"/>
      <c r="H431" s="6" t="s">
        <v>2011</v>
      </c>
      <c r="I431" s="6"/>
      <c r="J431" s="6" t="s">
        <v>133</v>
      </c>
      <c r="K431" s="6" t="s">
        <v>77</v>
      </c>
      <c r="L431" s="6"/>
      <c r="M431" s="6"/>
      <c r="N431" s="6"/>
      <c r="O431" s="6"/>
      <c r="P431" s="6"/>
      <c r="Q431" s="6"/>
      <c r="R431" s="6" t="s">
        <v>187</v>
      </c>
    </row>
    <row r="432" customFormat="false" ht="15" hidden="false" customHeight="false" outlineLevel="0" collapsed="false">
      <c r="A432" s="6" t="s">
        <v>2012</v>
      </c>
      <c r="B432" s="6" t="s">
        <v>174</v>
      </c>
      <c r="C432" s="6" t="s">
        <v>67</v>
      </c>
      <c r="D432" s="6" t="s">
        <v>2013</v>
      </c>
      <c r="E432" s="6" t="s">
        <v>2010</v>
      </c>
      <c r="F432" s="6" t="n">
        <v>2021</v>
      </c>
      <c r="G432" s="6"/>
      <c r="H432" s="6"/>
      <c r="I432" s="6" t="s">
        <v>2008</v>
      </c>
      <c r="J432" s="6" t="s">
        <v>133</v>
      </c>
      <c r="K432" s="6" t="s">
        <v>83</v>
      </c>
      <c r="L432" s="6"/>
      <c r="M432" s="6"/>
      <c r="N432" s="6"/>
      <c r="O432" s="6"/>
      <c r="P432" s="6"/>
      <c r="Q432" s="6"/>
      <c r="R432" s="6" t="s">
        <v>230</v>
      </c>
    </row>
    <row r="433" customFormat="false" ht="15" hidden="false" customHeight="false" outlineLevel="0" collapsed="false">
      <c r="A433" s="6" t="s">
        <v>2014</v>
      </c>
      <c r="B433" s="6" t="s">
        <v>174</v>
      </c>
      <c r="C433" s="6" t="s">
        <v>67</v>
      </c>
      <c r="D433" s="6" t="s">
        <v>2015</v>
      </c>
      <c r="E433" s="6" t="s">
        <v>2016</v>
      </c>
      <c r="F433" s="6" t="n">
        <v>2019</v>
      </c>
      <c r="G433" s="6"/>
      <c r="H433" s="6"/>
      <c r="I433" s="6"/>
      <c r="J433" s="6" t="s">
        <v>133</v>
      </c>
      <c r="K433" s="6" t="s">
        <v>77</v>
      </c>
      <c r="L433" s="6"/>
      <c r="M433" s="6"/>
      <c r="N433" s="6"/>
      <c r="O433" s="6"/>
      <c r="P433" s="6"/>
      <c r="Q433" s="6"/>
      <c r="R433" s="6" t="s">
        <v>187</v>
      </c>
    </row>
    <row r="434" customFormat="false" ht="15" hidden="false" customHeight="false" outlineLevel="0" collapsed="false">
      <c r="A434" s="6" t="s">
        <v>2017</v>
      </c>
      <c r="B434" s="6" t="s">
        <v>174</v>
      </c>
      <c r="C434" s="6" t="s">
        <v>67</v>
      </c>
      <c r="D434" s="6" t="s">
        <v>2018</v>
      </c>
      <c r="E434" s="6" t="s">
        <v>2019</v>
      </c>
      <c r="F434" s="6" t="n">
        <v>2015</v>
      </c>
      <c r="G434" s="6"/>
      <c r="H434" s="6"/>
      <c r="I434" s="6"/>
      <c r="J434" s="6" t="s">
        <v>133</v>
      </c>
      <c r="K434" s="6" t="s">
        <v>89</v>
      </c>
      <c r="L434" s="6"/>
      <c r="M434" s="6"/>
      <c r="N434" s="6"/>
      <c r="O434" s="6"/>
      <c r="P434" s="6"/>
      <c r="Q434" s="6"/>
      <c r="R434" s="6" t="s">
        <v>247</v>
      </c>
    </row>
    <row r="435" customFormat="false" ht="15" hidden="false" customHeight="false" outlineLevel="0" collapsed="false">
      <c r="A435" s="6" t="s">
        <v>2020</v>
      </c>
      <c r="B435" s="6" t="s">
        <v>174</v>
      </c>
      <c r="C435" s="6" t="s">
        <v>67</v>
      </c>
      <c r="D435" s="6" t="s">
        <v>2021</v>
      </c>
      <c r="E435" s="6" t="s">
        <v>2022</v>
      </c>
      <c r="F435" s="6" t="n">
        <v>2016</v>
      </c>
      <c r="G435" s="6"/>
      <c r="H435" s="6" t="s">
        <v>2023</v>
      </c>
      <c r="I435" s="6"/>
      <c r="J435" s="6" t="s">
        <v>133</v>
      </c>
      <c r="K435" s="6" t="s">
        <v>77</v>
      </c>
      <c r="L435" s="6"/>
      <c r="M435" s="6"/>
      <c r="N435" s="6"/>
      <c r="O435" s="6"/>
      <c r="P435" s="6"/>
      <c r="Q435" s="6"/>
      <c r="R435" s="6" t="s">
        <v>187</v>
      </c>
    </row>
    <row r="436" customFormat="false" ht="15" hidden="false" customHeight="false" outlineLevel="0" collapsed="false">
      <c r="A436" s="6" t="s">
        <v>2024</v>
      </c>
      <c r="B436" s="6" t="s">
        <v>174</v>
      </c>
      <c r="C436" s="6" t="s">
        <v>67</v>
      </c>
      <c r="D436" s="6" t="s">
        <v>2025</v>
      </c>
      <c r="E436" s="6" t="s">
        <v>2026</v>
      </c>
      <c r="F436" s="6" t="n">
        <v>2019</v>
      </c>
      <c r="G436" s="6"/>
      <c r="H436" s="6" t="s">
        <v>2027</v>
      </c>
      <c r="I436" s="6"/>
      <c r="J436" s="6" t="s">
        <v>133</v>
      </c>
      <c r="K436" s="6" t="s">
        <v>89</v>
      </c>
      <c r="L436" s="6"/>
      <c r="M436" s="6"/>
      <c r="N436" s="6"/>
      <c r="O436" s="6"/>
      <c r="P436" s="6"/>
      <c r="Q436" s="6"/>
      <c r="R436" s="6"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30"/>
    <col collapsed="false" customWidth="true" hidden="false" outlineLevel="0" max="4" min="4" style="0" width="6"/>
    <col collapsed="false" customWidth="true" hidden="false" outlineLevel="0" max="5" min="5" style="0" width="50"/>
    <col collapsed="false" customWidth="true" hidden="false" outlineLevel="0" max="7" min="6" style="0" width="24"/>
    <col collapsed="false" customWidth="true" hidden="false" outlineLevel="0" max="8" min="8" style="0" width="30"/>
    <col collapsed="false" customWidth="true" hidden="false" outlineLevel="0" max="9" min="9" style="0" width="16"/>
    <col collapsed="false" customWidth="true" hidden="false" outlineLevel="0" max="10" min="10" style="0" width="24"/>
    <col collapsed="false" customWidth="true" hidden="false" outlineLevel="0" max="11" min="11" style="0" width="10"/>
    <col collapsed="false" customWidth="true" hidden="false" outlineLevel="0" max="18" min="12" style="0" width="5"/>
    <col collapsed="false" customWidth="true" hidden="false" outlineLevel="0" max="19" min="19" style="0" width="8"/>
    <col collapsed="false" customWidth="true" hidden="false" outlineLevel="0" max="20" min="20" style="0" width="12"/>
    <col collapsed="false" customWidth="true" hidden="false" outlineLevel="0" max="21" min="21" style="0" width="30"/>
    <col collapsed="false" customWidth="true" hidden="false" outlineLevel="0" max="22" min="22" style="0" width="60"/>
    <col collapsed="false" customWidth="true" hidden="false" outlineLevel="0" max="23" min="23" style="0" width="22"/>
    <col collapsed="false" customWidth="true" hidden="false" outlineLevel="0" max="24" min="24" style="0" width="26"/>
  </cols>
  <sheetData>
    <row r="1" customFormat="false" ht="45.75" hidden="false" customHeight="true" outlineLevel="0" collapsed="false">
      <c r="A1" s="5" t="s">
        <v>95</v>
      </c>
      <c r="B1" s="5" t="s">
        <v>2028</v>
      </c>
      <c r="C1" s="5" t="s">
        <v>98</v>
      </c>
      <c r="D1" s="5" t="s">
        <v>99</v>
      </c>
      <c r="E1" s="5" t="s">
        <v>97</v>
      </c>
      <c r="F1" s="5" t="s">
        <v>100</v>
      </c>
      <c r="G1" s="5" t="s">
        <v>101</v>
      </c>
      <c r="H1" s="5" t="s">
        <v>107</v>
      </c>
      <c r="I1" s="5" t="s">
        <v>108</v>
      </c>
      <c r="J1" s="5" t="s">
        <v>109</v>
      </c>
      <c r="K1" s="5" t="s">
        <v>2029</v>
      </c>
      <c r="L1" s="5" t="s">
        <v>2030</v>
      </c>
      <c r="M1" s="5" t="s">
        <v>2031</v>
      </c>
      <c r="N1" s="5" t="s">
        <v>2032</v>
      </c>
      <c r="O1" s="5" t="s">
        <v>2033</v>
      </c>
      <c r="P1" s="5" t="s">
        <v>2034</v>
      </c>
      <c r="Q1" s="5" t="s">
        <v>124</v>
      </c>
      <c r="R1" s="5" t="s">
        <v>2035</v>
      </c>
      <c r="S1" s="5" t="s">
        <v>2036</v>
      </c>
      <c r="T1" s="5" t="s">
        <v>2037</v>
      </c>
      <c r="U1" s="5" t="s">
        <v>2038</v>
      </c>
      <c r="V1" s="5" t="s">
        <v>111</v>
      </c>
      <c r="W1" s="5" t="s">
        <v>2039</v>
      </c>
      <c r="X1" s="5" t="s">
        <v>2040</v>
      </c>
    </row>
    <row r="2" customFormat="false" ht="15" hidden="false" customHeight="false" outlineLevel="0" collapsed="false">
      <c r="A2" s="6" t="s">
        <v>113</v>
      </c>
      <c r="B2" s="6" t="n">
        <v>19</v>
      </c>
      <c r="C2" s="6" t="s">
        <v>117</v>
      </c>
      <c r="D2" s="6" t="n">
        <v>2018</v>
      </c>
      <c r="E2" s="6" t="s">
        <v>116</v>
      </c>
      <c r="F2" s="6" t="s">
        <v>118</v>
      </c>
      <c r="G2" s="6" t="s">
        <v>119</v>
      </c>
      <c r="H2" s="6" t="s">
        <v>121</v>
      </c>
      <c r="I2" s="6" t="s">
        <v>122</v>
      </c>
      <c r="J2" s="6" t="s">
        <v>123</v>
      </c>
      <c r="K2" s="6" t="s">
        <v>124</v>
      </c>
      <c r="L2" s="6"/>
      <c r="M2" s="6"/>
      <c r="N2" s="6"/>
      <c r="O2" s="6"/>
      <c r="P2" s="6"/>
      <c r="Q2" s="6"/>
      <c r="R2" s="6" t="n">
        <v>1</v>
      </c>
      <c r="S2" s="6" t="n">
        <f aca="false">SUM(L2:R2)</f>
        <v>1</v>
      </c>
      <c r="T2" s="6" t="s">
        <v>2041</v>
      </c>
      <c r="U2" s="6" t="s">
        <v>2042</v>
      </c>
      <c r="V2" s="6" t="s">
        <v>125</v>
      </c>
      <c r="W2" s="6" t="s">
        <v>2043</v>
      </c>
      <c r="X2" s="6" t="s">
        <v>2044</v>
      </c>
    </row>
    <row r="3" customFormat="false" ht="15" hidden="false" customHeight="false" outlineLevel="0" collapsed="false">
      <c r="A3" s="6" t="s">
        <v>139</v>
      </c>
      <c r="B3" s="6" t="n">
        <v>23</v>
      </c>
      <c r="C3" s="6" t="s">
        <v>141</v>
      </c>
      <c r="D3" s="6" t="n">
        <v>2021</v>
      </c>
      <c r="E3" s="6" t="s">
        <v>140</v>
      </c>
      <c r="F3" s="6" t="s">
        <v>142</v>
      </c>
      <c r="G3" s="6" t="s">
        <v>143</v>
      </c>
      <c r="H3" s="6" t="s">
        <v>144</v>
      </c>
      <c r="I3" s="6" t="s">
        <v>135</v>
      </c>
      <c r="J3" s="6" t="s">
        <v>145</v>
      </c>
      <c r="K3" s="6" t="s">
        <v>137</v>
      </c>
      <c r="L3" s="6" t="n">
        <v>1</v>
      </c>
      <c r="M3" s="6"/>
      <c r="N3" s="6"/>
      <c r="O3" s="6"/>
      <c r="P3" s="6"/>
      <c r="Q3" s="6"/>
      <c r="R3" s="6"/>
      <c r="S3" s="6" t="n">
        <f aca="false">SUM(L3:R3)</f>
        <v>1</v>
      </c>
      <c r="T3" s="6" t="s">
        <v>2041</v>
      </c>
      <c r="U3" s="6" t="s">
        <v>2045</v>
      </c>
      <c r="V3" s="6" t="s">
        <v>146</v>
      </c>
      <c r="W3" s="6" t="s">
        <v>2043</v>
      </c>
      <c r="X3" s="6" t="s">
        <v>2046</v>
      </c>
    </row>
    <row r="4" customFormat="false" ht="15" hidden="false" customHeight="false" outlineLevel="0" collapsed="false">
      <c r="A4" s="6" t="s">
        <v>157</v>
      </c>
      <c r="B4" s="6" t="n">
        <v>17</v>
      </c>
      <c r="C4" s="6" t="s">
        <v>159</v>
      </c>
      <c r="D4" s="6" t="n">
        <v>2016</v>
      </c>
      <c r="E4" s="6" t="s">
        <v>158</v>
      </c>
      <c r="F4" s="6" t="s">
        <v>160</v>
      </c>
      <c r="G4" s="6" t="s">
        <v>161</v>
      </c>
      <c r="H4" s="6" t="s">
        <v>162</v>
      </c>
      <c r="I4" s="6" t="s">
        <v>154</v>
      </c>
      <c r="J4" s="6" t="s">
        <v>163</v>
      </c>
      <c r="K4" s="6" t="s">
        <v>124</v>
      </c>
      <c r="L4" s="6"/>
      <c r="M4" s="6"/>
      <c r="N4" s="6"/>
      <c r="O4" s="6"/>
      <c r="P4" s="6"/>
      <c r="Q4" s="6"/>
      <c r="R4" s="6"/>
      <c r="S4" s="6" t="n">
        <f aca="false">SUM(L4:R4)</f>
        <v>0</v>
      </c>
      <c r="T4" s="6" t="s">
        <v>2041</v>
      </c>
      <c r="U4" s="6" t="s">
        <v>2047</v>
      </c>
      <c r="V4" s="6" t="s">
        <v>164</v>
      </c>
      <c r="W4" s="6" t="s">
        <v>2043</v>
      </c>
      <c r="X4" s="6" t="s">
        <v>2048</v>
      </c>
    </row>
    <row r="5" customFormat="false" ht="15" hidden="false" customHeight="false" outlineLevel="0" collapsed="false">
      <c r="A5" s="6" t="s">
        <v>256</v>
      </c>
      <c r="B5" s="6" t="n">
        <v>45</v>
      </c>
      <c r="C5" s="6" t="s">
        <v>258</v>
      </c>
      <c r="D5" s="6" t="n">
        <v>2018</v>
      </c>
      <c r="E5" s="6" t="s">
        <v>257</v>
      </c>
      <c r="F5" s="6"/>
      <c r="G5" s="6" t="s">
        <v>259</v>
      </c>
      <c r="H5" s="6" t="s">
        <v>260</v>
      </c>
      <c r="I5" s="6" t="s">
        <v>261</v>
      </c>
      <c r="J5" s="6" t="s">
        <v>262</v>
      </c>
      <c r="K5" s="6" t="s">
        <v>137</v>
      </c>
      <c r="L5" s="6"/>
      <c r="M5" s="6"/>
      <c r="N5" s="6"/>
      <c r="O5" s="6"/>
      <c r="P5" s="6"/>
      <c r="Q5" s="6"/>
      <c r="R5" s="6"/>
      <c r="S5" s="6" t="n">
        <f aca="false">SUM(L5:R5)</f>
        <v>0</v>
      </c>
      <c r="T5" s="6" t="s">
        <v>2041</v>
      </c>
      <c r="U5" s="6"/>
      <c r="V5" s="6" t="s">
        <v>2049</v>
      </c>
      <c r="W5" s="6" t="s">
        <v>2043</v>
      </c>
      <c r="X5" s="6" t="s">
        <v>2050</v>
      </c>
    </row>
    <row r="6" customFormat="false" ht="15" hidden="false" customHeight="false" outlineLevel="0" collapsed="false">
      <c r="A6" s="6" t="s">
        <v>267</v>
      </c>
      <c r="B6" s="6" t="n">
        <v>41</v>
      </c>
      <c r="C6" s="6" t="s">
        <v>269</v>
      </c>
      <c r="D6" s="6" t="n">
        <v>2021</v>
      </c>
      <c r="E6" s="6" t="s">
        <v>268</v>
      </c>
      <c r="F6" s="6"/>
      <c r="G6" s="6" t="s">
        <v>270</v>
      </c>
      <c r="H6" s="6" t="s">
        <v>271</v>
      </c>
      <c r="I6" s="6" t="s">
        <v>272</v>
      </c>
      <c r="J6" s="6" t="s">
        <v>273</v>
      </c>
      <c r="K6" s="6" t="s">
        <v>124</v>
      </c>
      <c r="L6" s="6"/>
      <c r="M6" s="6"/>
      <c r="N6" s="6"/>
      <c r="O6" s="6"/>
      <c r="P6" s="6"/>
      <c r="Q6" s="6"/>
      <c r="R6" s="6"/>
      <c r="S6" s="6" t="n">
        <f aca="false">SUM(L6:R6)</f>
        <v>0</v>
      </c>
      <c r="T6" s="6" t="s">
        <v>2041</v>
      </c>
      <c r="U6" s="6"/>
      <c r="V6" s="6" t="s">
        <v>2051</v>
      </c>
      <c r="W6" s="6" t="s">
        <v>2043</v>
      </c>
      <c r="X6" s="6" t="s">
        <v>2052</v>
      </c>
    </row>
    <row r="7" customFormat="false" ht="15" hidden="false" customHeight="false" outlineLevel="0" collapsed="false">
      <c r="A7" s="6" t="s">
        <v>132</v>
      </c>
      <c r="B7" s="6" t="n">
        <v>22</v>
      </c>
      <c r="C7" s="6" t="s">
        <v>289</v>
      </c>
      <c r="D7" s="6" t="n">
        <v>2024</v>
      </c>
      <c r="E7" s="6" t="s">
        <v>128</v>
      </c>
      <c r="F7" s="6"/>
      <c r="G7" s="6" t="s">
        <v>290</v>
      </c>
      <c r="H7" s="6" t="s">
        <v>291</v>
      </c>
      <c r="I7" s="6" t="s">
        <v>292</v>
      </c>
      <c r="J7" s="6" t="s">
        <v>293</v>
      </c>
      <c r="K7" s="6" t="s">
        <v>137</v>
      </c>
      <c r="L7" s="6" t="n">
        <v>1</v>
      </c>
      <c r="M7" s="6"/>
      <c r="N7" s="6"/>
      <c r="O7" s="6"/>
      <c r="P7" s="6"/>
      <c r="Q7" s="6" t="n">
        <v>1</v>
      </c>
      <c r="R7" s="6"/>
      <c r="S7" s="6" t="n">
        <f aca="false">SUM(L7:R7)</f>
        <v>2</v>
      </c>
      <c r="T7" s="6" t="s">
        <v>2041</v>
      </c>
      <c r="U7" s="6" t="s">
        <v>2053</v>
      </c>
      <c r="V7" s="6" t="s">
        <v>2054</v>
      </c>
      <c r="W7" s="6" t="s">
        <v>2043</v>
      </c>
      <c r="X7" s="6" t="s">
        <v>2046</v>
      </c>
    </row>
    <row r="8" customFormat="false" ht="15" hidden="false" customHeight="false" outlineLevel="0" collapsed="false">
      <c r="A8" s="6" t="s">
        <v>305</v>
      </c>
      <c r="B8" s="6" t="n">
        <v>25</v>
      </c>
      <c r="C8" s="6" t="s">
        <v>307</v>
      </c>
      <c r="D8" s="6" t="n">
        <v>2025</v>
      </c>
      <c r="E8" s="6" t="s">
        <v>306</v>
      </c>
      <c r="F8" s="6"/>
      <c r="G8" s="6" t="s">
        <v>308</v>
      </c>
      <c r="H8" s="6" t="s">
        <v>309</v>
      </c>
      <c r="I8" s="6" t="s">
        <v>135</v>
      </c>
      <c r="J8" s="6" t="s">
        <v>310</v>
      </c>
      <c r="K8" s="6" t="s">
        <v>137</v>
      </c>
      <c r="L8" s="6" t="n">
        <v>1</v>
      </c>
      <c r="M8" s="6"/>
      <c r="N8" s="6"/>
      <c r="O8" s="6"/>
      <c r="P8" s="6"/>
      <c r="Q8" s="6"/>
      <c r="R8" s="6"/>
      <c r="S8" s="6" t="n">
        <f aca="false">SUM(L8:R8)</f>
        <v>1</v>
      </c>
      <c r="T8" s="6" t="s">
        <v>2041</v>
      </c>
      <c r="U8" s="6" t="s">
        <v>2042</v>
      </c>
      <c r="V8" s="6" t="s">
        <v>2055</v>
      </c>
      <c r="W8" s="6" t="s">
        <v>2043</v>
      </c>
      <c r="X8" s="6" t="s">
        <v>2046</v>
      </c>
    </row>
    <row r="9" customFormat="false" ht="15" hidden="false" customHeight="false" outlineLevel="0" collapsed="false">
      <c r="A9" s="6" t="s">
        <v>361</v>
      </c>
      <c r="B9" s="6"/>
      <c r="C9" s="6" t="s">
        <v>363</v>
      </c>
      <c r="D9" s="6" t="n">
        <v>2026</v>
      </c>
      <c r="E9" s="6" t="s">
        <v>362</v>
      </c>
      <c r="F9" s="6"/>
      <c r="G9" s="6" t="s">
        <v>364</v>
      </c>
      <c r="H9" s="6" t="s">
        <v>365</v>
      </c>
      <c r="I9" s="6" t="s">
        <v>272</v>
      </c>
      <c r="J9" s="6" t="s">
        <v>366</v>
      </c>
      <c r="K9" s="6" t="s">
        <v>137</v>
      </c>
      <c r="L9" s="6"/>
      <c r="M9" s="6"/>
      <c r="N9" s="6"/>
      <c r="O9" s="6"/>
      <c r="P9" s="6"/>
      <c r="Q9" s="6"/>
      <c r="R9" s="6"/>
      <c r="S9" s="6" t="n">
        <f aca="false">SUM(L9:R9)</f>
        <v>0</v>
      </c>
      <c r="T9" s="6" t="s">
        <v>2056</v>
      </c>
      <c r="U9" s="6"/>
      <c r="V9" s="6" t="s">
        <v>2057</v>
      </c>
      <c r="W9" s="6" t="s">
        <v>2058</v>
      </c>
      <c r="X9" s="6" t="s">
        <v>2052</v>
      </c>
    </row>
    <row r="10" customFormat="false" ht="15" hidden="false" customHeight="false" outlineLevel="0" collapsed="false">
      <c r="A10" s="6" t="s">
        <v>380</v>
      </c>
      <c r="B10" s="6"/>
      <c r="C10" s="6" t="s">
        <v>382</v>
      </c>
      <c r="D10" s="6" t="n">
        <v>2022</v>
      </c>
      <c r="E10" s="6" t="s">
        <v>381</v>
      </c>
      <c r="F10" s="6"/>
      <c r="G10" s="6" t="s">
        <v>383</v>
      </c>
      <c r="H10" s="6" t="s">
        <v>384</v>
      </c>
      <c r="I10" s="6" t="s">
        <v>272</v>
      </c>
      <c r="J10" s="6" t="s">
        <v>385</v>
      </c>
      <c r="K10" s="6" t="s">
        <v>137</v>
      </c>
      <c r="L10" s="6"/>
      <c r="M10" s="6"/>
      <c r="N10" s="6"/>
      <c r="O10" s="6"/>
      <c r="P10" s="6"/>
      <c r="Q10" s="6"/>
      <c r="R10" s="6"/>
      <c r="S10" s="6" t="n">
        <f aca="false">SUM(L10:R10)</f>
        <v>0</v>
      </c>
      <c r="T10" s="6" t="s">
        <v>2056</v>
      </c>
      <c r="U10" s="6"/>
      <c r="V10" s="6" t="s">
        <v>2059</v>
      </c>
      <c r="W10" s="6" t="s">
        <v>2058</v>
      </c>
      <c r="X10" s="6" t="s">
        <v>2052</v>
      </c>
    </row>
    <row r="11" customFormat="false" ht="15" hidden="false" customHeight="false" outlineLevel="0" collapsed="false">
      <c r="A11" s="6" t="s">
        <v>403</v>
      </c>
      <c r="B11" s="6" t="n">
        <v>27</v>
      </c>
      <c r="C11" s="6" t="s">
        <v>405</v>
      </c>
      <c r="D11" s="6" t="n">
        <v>2023</v>
      </c>
      <c r="E11" s="6" t="s">
        <v>404</v>
      </c>
      <c r="F11" s="6"/>
      <c r="G11" s="6" t="s">
        <v>406</v>
      </c>
      <c r="H11" s="6" t="s">
        <v>407</v>
      </c>
      <c r="I11" s="6" t="s">
        <v>135</v>
      </c>
      <c r="J11" s="6" t="s">
        <v>408</v>
      </c>
      <c r="K11" s="6" t="s">
        <v>137</v>
      </c>
      <c r="L11" s="6" t="n">
        <v>1</v>
      </c>
      <c r="M11" s="6"/>
      <c r="N11" s="6"/>
      <c r="O11" s="6"/>
      <c r="P11" s="6"/>
      <c r="Q11" s="6"/>
      <c r="R11" s="6"/>
      <c r="S11" s="6" t="n">
        <f aca="false">SUM(L11:R11)</f>
        <v>1</v>
      </c>
      <c r="T11" s="6" t="s">
        <v>2041</v>
      </c>
      <c r="U11" s="6" t="s">
        <v>2042</v>
      </c>
      <c r="V11" s="6" t="s">
        <v>2060</v>
      </c>
      <c r="W11" s="6" t="s">
        <v>2043</v>
      </c>
      <c r="X11" s="6" t="s">
        <v>2046</v>
      </c>
    </row>
    <row r="12" customFormat="false" ht="15" hidden="false" customHeight="false" outlineLevel="0" collapsed="false">
      <c r="A12" s="6" t="s">
        <v>425</v>
      </c>
      <c r="B12" s="6" t="n">
        <v>30</v>
      </c>
      <c r="C12" s="6" t="s">
        <v>427</v>
      </c>
      <c r="D12" s="6" t="n">
        <v>2026</v>
      </c>
      <c r="E12" s="6" t="s">
        <v>426</v>
      </c>
      <c r="F12" s="6"/>
      <c r="G12" s="6" t="s">
        <v>428</v>
      </c>
      <c r="H12" s="6" t="s">
        <v>429</v>
      </c>
      <c r="I12" s="6" t="s">
        <v>135</v>
      </c>
      <c r="J12" s="6" t="s">
        <v>310</v>
      </c>
      <c r="K12" s="6" t="s">
        <v>137</v>
      </c>
      <c r="L12" s="6" t="n">
        <v>1</v>
      </c>
      <c r="M12" s="6"/>
      <c r="N12" s="6"/>
      <c r="O12" s="6"/>
      <c r="P12" s="6"/>
      <c r="Q12" s="6"/>
      <c r="R12" s="6"/>
      <c r="S12" s="6" t="n">
        <f aca="false">SUM(L12:R12)</f>
        <v>1</v>
      </c>
      <c r="T12" s="6" t="s">
        <v>2056</v>
      </c>
      <c r="U12" s="6" t="s">
        <v>2061</v>
      </c>
      <c r="V12" s="6" t="s">
        <v>2062</v>
      </c>
      <c r="W12" s="6" t="s">
        <v>2058</v>
      </c>
      <c r="X12" s="6" t="s">
        <v>2046</v>
      </c>
    </row>
    <row r="13" customFormat="false" ht="15" hidden="false" customHeight="false" outlineLevel="0" collapsed="false">
      <c r="A13" s="6" t="s">
        <v>479</v>
      </c>
      <c r="B13" s="6" t="n">
        <v>42</v>
      </c>
      <c r="C13" s="6" t="s">
        <v>481</v>
      </c>
      <c r="D13" s="6" t="n">
        <v>2024</v>
      </c>
      <c r="E13" s="6" t="s">
        <v>480</v>
      </c>
      <c r="F13" s="6"/>
      <c r="G13" s="6" t="s">
        <v>482</v>
      </c>
      <c r="H13" s="6" t="s">
        <v>483</v>
      </c>
      <c r="I13" s="6" t="s">
        <v>272</v>
      </c>
      <c r="J13" s="6" t="s">
        <v>484</v>
      </c>
      <c r="K13" s="6" t="s">
        <v>124</v>
      </c>
      <c r="L13" s="6"/>
      <c r="M13" s="6"/>
      <c r="N13" s="6"/>
      <c r="O13" s="6"/>
      <c r="P13" s="6"/>
      <c r="Q13" s="6"/>
      <c r="R13" s="6"/>
      <c r="S13" s="6" t="n">
        <f aca="false">SUM(L13:R13)</f>
        <v>0</v>
      </c>
      <c r="T13" s="6" t="s">
        <v>2041</v>
      </c>
      <c r="U13" s="6"/>
      <c r="V13" s="6" t="s">
        <v>2063</v>
      </c>
      <c r="W13" s="6" t="s">
        <v>2043</v>
      </c>
      <c r="X13" s="6" t="s">
        <v>2052</v>
      </c>
    </row>
    <row r="14" customFormat="false" ht="15" hidden="false" customHeight="false" outlineLevel="0" collapsed="false">
      <c r="A14" s="6" t="s">
        <v>1019</v>
      </c>
      <c r="B14" s="6" t="n">
        <v>44</v>
      </c>
      <c r="C14" s="6" t="s">
        <v>1021</v>
      </c>
      <c r="D14" s="6" t="n">
        <v>2025</v>
      </c>
      <c r="E14" s="6" t="s">
        <v>1020</v>
      </c>
      <c r="F14" s="6"/>
      <c r="G14" s="6" t="s">
        <v>1022</v>
      </c>
      <c r="H14" s="6" t="s">
        <v>1023</v>
      </c>
      <c r="I14" s="6" t="s">
        <v>261</v>
      </c>
      <c r="J14" s="6" t="s">
        <v>1024</v>
      </c>
      <c r="K14" s="6" t="s">
        <v>137</v>
      </c>
      <c r="L14" s="6"/>
      <c r="M14" s="6"/>
      <c r="N14" s="6"/>
      <c r="O14" s="6"/>
      <c r="P14" s="6"/>
      <c r="Q14" s="6"/>
      <c r="R14" s="6"/>
      <c r="S14" s="6" t="n">
        <f aca="false">SUM(L14:R14)</f>
        <v>0</v>
      </c>
      <c r="T14" s="6" t="s">
        <v>2041</v>
      </c>
      <c r="U14" s="6"/>
      <c r="V14" s="6" t="s">
        <v>2064</v>
      </c>
      <c r="W14" s="6" t="s">
        <v>2043</v>
      </c>
      <c r="X14" s="6" t="s">
        <v>2050</v>
      </c>
    </row>
    <row r="15" customFormat="false" ht="15" hidden="false" customHeight="false" outlineLevel="0" collapsed="false">
      <c r="A15" s="6" t="s">
        <v>1193</v>
      </c>
      <c r="B15" s="6"/>
      <c r="C15" s="6" t="s">
        <v>1195</v>
      </c>
      <c r="D15" s="6" t="n">
        <v>2024</v>
      </c>
      <c r="E15" s="6" t="s">
        <v>1194</v>
      </c>
      <c r="F15" s="6"/>
      <c r="G15" s="6"/>
      <c r="H15" s="6" t="s">
        <v>1196</v>
      </c>
      <c r="I15" s="6" t="s">
        <v>261</v>
      </c>
      <c r="J15" s="6" t="s">
        <v>1197</v>
      </c>
      <c r="K15" s="6" t="s">
        <v>137</v>
      </c>
      <c r="L15" s="6"/>
      <c r="M15" s="6"/>
      <c r="N15" s="6"/>
      <c r="O15" s="6"/>
      <c r="P15" s="6"/>
      <c r="Q15" s="6"/>
      <c r="R15" s="6"/>
      <c r="S15" s="6" t="n">
        <f aca="false">SUM(L15:R15)</f>
        <v>0</v>
      </c>
      <c r="T15" s="6" t="s">
        <v>2056</v>
      </c>
      <c r="U15" s="6"/>
      <c r="V15" s="6" t="s">
        <v>2065</v>
      </c>
      <c r="W15" s="6" t="s">
        <v>2058</v>
      </c>
      <c r="X15" s="6" t="s">
        <v>2050</v>
      </c>
    </row>
    <row r="16" customFormat="false" ht="15" hidden="false" customHeight="false" outlineLevel="0" collapsed="false">
      <c r="A16" s="6" t="s">
        <v>1315</v>
      </c>
      <c r="B16" s="6"/>
      <c r="C16" s="6" t="s">
        <v>1317</v>
      </c>
      <c r="D16" s="6" t="n">
        <v>2017</v>
      </c>
      <c r="E16" s="6" t="s">
        <v>1316</v>
      </c>
      <c r="F16" s="6"/>
      <c r="G16" s="6"/>
      <c r="H16" s="6" t="s">
        <v>1318</v>
      </c>
      <c r="I16" s="6" t="s">
        <v>135</v>
      </c>
      <c r="J16" s="6" t="s">
        <v>1319</v>
      </c>
      <c r="K16" s="6" t="s">
        <v>124</v>
      </c>
      <c r="L16" s="6"/>
      <c r="M16" s="6"/>
      <c r="N16" s="6"/>
      <c r="O16" s="6"/>
      <c r="P16" s="6"/>
      <c r="Q16" s="6"/>
      <c r="R16" s="6"/>
      <c r="S16" s="6" t="n">
        <f aca="false">SUM(L16:R16)</f>
        <v>0</v>
      </c>
      <c r="T16" s="6" t="s">
        <v>2056</v>
      </c>
      <c r="U16" s="6"/>
      <c r="V16" s="6" t="s">
        <v>2066</v>
      </c>
      <c r="W16" s="6" t="s">
        <v>2058</v>
      </c>
      <c r="X16" s="6" t="s">
        <v>2052</v>
      </c>
    </row>
    <row r="17" customFormat="false" ht="15" hidden="false" customHeight="false" outlineLevel="0" collapsed="false">
      <c r="A17" s="6" t="s">
        <v>1347</v>
      </c>
      <c r="B17" s="6" t="n">
        <v>48</v>
      </c>
      <c r="C17" s="6" t="s">
        <v>1349</v>
      </c>
      <c r="D17" s="6" t="n">
        <v>2022</v>
      </c>
      <c r="E17" s="6" t="s">
        <v>1348</v>
      </c>
      <c r="F17" s="6"/>
      <c r="G17" s="6" t="s">
        <v>1350</v>
      </c>
      <c r="H17" s="6" t="s">
        <v>1351</v>
      </c>
      <c r="I17" s="6" t="s">
        <v>122</v>
      </c>
      <c r="J17" s="6" t="s">
        <v>1352</v>
      </c>
      <c r="K17" s="6" t="s">
        <v>124</v>
      </c>
      <c r="L17" s="6"/>
      <c r="M17" s="6"/>
      <c r="N17" s="6" t="n">
        <v>1</v>
      </c>
      <c r="O17" s="6"/>
      <c r="P17" s="6"/>
      <c r="Q17" s="6"/>
      <c r="R17" s="6"/>
      <c r="S17" s="6" t="n">
        <f aca="false">SUM(L17:R17)</f>
        <v>1</v>
      </c>
      <c r="T17" s="6" t="s">
        <v>2041</v>
      </c>
      <c r="U17" s="6" t="s">
        <v>2042</v>
      </c>
      <c r="V17" s="6" t="s">
        <v>2067</v>
      </c>
      <c r="W17" s="6" t="s">
        <v>2043</v>
      </c>
      <c r="X17" s="6" t="s">
        <v>2044</v>
      </c>
    </row>
    <row r="18" customFormat="false" ht="15" hidden="false" customHeight="false" outlineLevel="0" collapsed="false">
      <c r="A18" s="6" t="s">
        <v>1373</v>
      </c>
      <c r="B18" s="6" t="n">
        <v>31</v>
      </c>
      <c r="C18" s="6" t="s">
        <v>1375</v>
      </c>
      <c r="D18" s="6" t="n">
        <v>2021</v>
      </c>
      <c r="E18" s="6" t="s">
        <v>1374</v>
      </c>
      <c r="F18" s="6"/>
      <c r="G18" s="6" t="s">
        <v>1376</v>
      </c>
      <c r="H18" s="6" t="s">
        <v>1377</v>
      </c>
      <c r="I18" s="6" t="s">
        <v>1378</v>
      </c>
      <c r="J18" s="6" t="s">
        <v>1379</v>
      </c>
      <c r="K18" s="6" t="s">
        <v>124</v>
      </c>
      <c r="L18" s="6" t="n">
        <v>1</v>
      </c>
      <c r="M18" s="6" t="n">
        <v>1</v>
      </c>
      <c r="N18" s="6"/>
      <c r="O18" s="6"/>
      <c r="P18" s="6"/>
      <c r="Q18" s="6"/>
      <c r="R18" s="6" t="n">
        <v>1</v>
      </c>
      <c r="S18" s="6" t="n">
        <f aca="false">SUM(L18:R18)</f>
        <v>3</v>
      </c>
      <c r="T18" s="6" t="s">
        <v>2041</v>
      </c>
      <c r="U18" s="6" t="s">
        <v>2042</v>
      </c>
      <c r="V18" s="6" t="s">
        <v>2068</v>
      </c>
      <c r="W18" s="6" t="s">
        <v>2043</v>
      </c>
      <c r="X18" s="6" t="s">
        <v>2044</v>
      </c>
    </row>
    <row r="19" customFormat="false" ht="15" hidden="false" customHeight="false" outlineLevel="0" collapsed="false">
      <c r="A19" s="6" t="s">
        <v>1386</v>
      </c>
      <c r="B19" s="6" t="n">
        <v>36</v>
      </c>
      <c r="C19" s="6" t="s">
        <v>1388</v>
      </c>
      <c r="D19" s="6" t="n">
        <v>2019</v>
      </c>
      <c r="E19" s="6" t="s">
        <v>1387</v>
      </c>
      <c r="F19" s="6"/>
      <c r="G19" s="6" t="s">
        <v>1389</v>
      </c>
      <c r="H19" s="6" t="s">
        <v>1390</v>
      </c>
      <c r="I19" s="6" t="s">
        <v>1391</v>
      </c>
      <c r="J19" s="6" t="s">
        <v>1392</v>
      </c>
      <c r="K19" s="6" t="s">
        <v>124</v>
      </c>
      <c r="L19" s="6" t="n">
        <v>1</v>
      </c>
      <c r="M19" s="6" t="n">
        <v>1</v>
      </c>
      <c r="N19" s="6"/>
      <c r="O19" s="6"/>
      <c r="P19" s="6"/>
      <c r="Q19" s="6" t="n">
        <v>1</v>
      </c>
      <c r="R19" s="6"/>
      <c r="S19" s="6" t="n">
        <f aca="false">SUM(L19:R19)</f>
        <v>3</v>
      </c>
      <c r="T19" s="6" t="s">
        <v>2041</v>
      </c>
      <c r="U19" s="6" t="s">
        <v>2042</v>
      </c>
      <c r="V19" s="6" t="s">
        <v>2069</v>
      </c>
      <c r="W19" s="6" t="s">
        <v>2043</v>
      </c>
      <c r="X19" s="6" t="s">
        <v>2070</v>
      </c>
    </row>
    <row r="20" customFormat="false" ht="15" hidden="false" customHeight="false" outlineLevel="0" collapsed="false">
      <c r="A20" s="6" t="s">
        <v>1402</v>
      </c>
      <c r="B20" s="6"/>
      <c r="C20" s="6" t="s">
        <v>1404</v>
      </c>
      <c r="D20" s="6" t="n">
        <v>2021</v>
      </c>
      <c r="E20" s="6" t="s">
        <v>1403</v>
      </c>
      <c r="F20" s="6"/>
      <c r="G20" s="6" t="s">
        <v>1405</v>
      </c>
      <c r="H20" s="6" t="s">
        <v>1406</v>
      </c>
      <c r="I20" s="6" t="s">
        <v>135</v>
      </c>
      <c r="J20" s="6" t="s">
        <v>1407</v>
      </c>
      <c r="K20" s="6" t="s">
        <v>124</v>
      </c>
      <c r="L20" s="6"/>
      <c r="M20" s="6"/>
      <c r="N20" s="6"/>
      <c r="O20" s="6"/>
      <c r="P20" s="6"/>
      <c r="Q20" s="6"/>
      <c r="R20" s="6"/>
      <c r="S20" s="6" t="n">
        <f aca="false">SUM(L20:R20)</f>
        <v>0</v>
      </c>
      <c r="T20" s="6" t="s">
        <v>2056</v>
      </c>
      <c r="U20" s="6"/>
      <c r="V20" s="6" t="s">
        <v>2071</v>
      </c>
      <c r="W20" s="6" t="s">
        <v>2058</v>
      </c>
      <c r="X20" s="6" t="s">
        <v>2070</v>
      </c>
    </row>
    <row r="21" customFormat="false" ht="15" hidden="false" customHeight="false" outlineLevel="0" collapsed="false">
      <c r="A21" s="6" t="s">
        <v>1409</v>
      </c>
      <c r="B21" s="6"/>
      <c r="C21" s="6" t="s">
        <v>1411</v>
      </c>
      <c r="D21" s="6" t="n">
        <v>2021</v>
      </c>
      <c r="E21" s="6" t="s">
        <v>1410</v>
      </c>
      <c r="F21" s="6"/>
      <c r="G21" s="6" t="s">
        <v>1412</v>
      </c>
      <c r="H21" s="6" t="s">
        <v>1413</v>
      </c>
      <c r="I21" s="6" t="s">
        <v>272</v>
      </c>
      <c r="J21" s="6" t="s">
        <v>1414</v>
      </c>
      <c r="K21" s="6" t="s">
        <v>124</v>
      </c>
      <c r="L21" s="6"/>
      <c r="M21" s="6"/>
      <c r="N21" s="6"/>
      <c r="O21" s="6"/>
      <c r="P21" s="6"/>
      <c r="Q21" s="6"/>
      <c r="R21" s="6"/>
      <c r="S21" s="6" t="n">
        <f aca="false">SUM(L21:R21)</f>
        <v>0</v>
      </c>
      <c r="T21" s="6" t="s">
        <v>2056</v>
      </c>
      <c r="U21" s="6"/>
      <c r="V21" s="6" t="s">
        <v>2072</v>
      </c>
      <c r="W21" s="6" t="s">
        <v>2058</v>
      </c>
      <c r="X21" s="6" t="s">
        <v>2044</v>
      </c>
    </row>
    <row r="22" customFormat="false" ht="15" hidden="false" customHeight="false" outlineLevel="0" collapsed="false">
      <c r="A22" s="6" t="s">
        <v>1423</v>
      </c>
      <c r="B22" s="6"/>
      <c r="C22" s="6" t="s">
        <v>1425</v>
      </c>
      <c r="D22" s="6" t="n">
        <v>2024</v>
      </c>
      <c r="E22" s="6" t="s">
        <v>1424</v>
      </c>
      <c r="F22" s="6"/>
      <c r="G22" s="6" t="s">
        <v>1426</v>
      </c>
      <c r="H22" s="6" t="s">
        <v>1427</v>
      </c>
      <c r="I22" s="6" t="s">
        <v>1428</v>
      </c>
      <c r="J22" s="6" t="s">
        <v>1429</v>
      </c>
      <c r="K22" s="6" t="s">
        <v>124</v>
      </c>
      <c r="L22" s="6"/>
      <c r="M22" s="6"/>
      <c r="N22" s="6"/>
      <c r="O22" s="6"/>
      <c r="P22" s="6"/>
      <c r="Q22" s="6"/>
      <c r="R22" s="6"/>
      <c r="S22" s="6" t="n">
        <f aca="false">SUM(L22:R22)</f>
        <v>0</v>
      </c>
      <c r="T22" s="6" t="s">
        <v>2056</v>
      </c>
      <c r="U22" s="6"/>
      <c r="V22" s="6" t="s">
        <v>2073</v>
      </c>
      <c r="W22" s="6" t="s">
        <v>2058</v>
      </c>
      <c r="X22" s="6" t="s">
        <v>2070</v>
      </c>
    </row>
    <row r="23" customFormat="false" ht="15" hidden="false" customHeight="false" outlineLevel="0" collapsed="false">
      <c r="A23" s="6" t="s">
        <v>1482</v>
      </c>
      <c r="B23" s="6"/>
      <c r="C23" s="6" t="s">
        <v>1464</v>
      </c>
      <c r="D23" s="6" t="n">
        <v>2026</v>
      </c>
      <c r="E23" s="6" t="s">
        <v>1483</v>
      </c>
      <c r="F23" s="6"/>
      <c r="G23" s="6" t="s">
        <v>1484</v>
      </c>
      <c r="H23" s="6" t="s">
        <v>1485</v>
      </c>
      <c r="I23" s="6" t="s">
        <v>179</v>
      </c>
      <c r="J23" s="6" t="s">
        <v>1486</v>
      </c>
      <c r="K23" s="6" t="s">
        <v>124</v>
      </c>
      <c r="L23" s="6"/>
      <c r="M23" s="6"/>
      <c r="N23" s="6"/>
      <c r="O23" s="6"/>
      <c r="P23" s="6"/>
      <c r="Q23" s="6"/>
      <c r="R23" s="6"/>
      <c r="S23" s="6" t="n">
        <f aca="false">SUM(L23:R23)</f>
        <v>0</v>
      </c>
      <c r="T23" s="6" t="s">
        <v>2056</v>
      </c>
      <c r="U23" s="6"/>
      <c r="V23" s="6" t="s">
        <v>2074</v>
      </c>
      <c r="W23" s="6" t="s">
        <v>2058</v>
      </c>
      <c r="X23" s="6" t="s">
        <v>2044</v>
      </c>
    </row>
    <row r="24" customFormat="false" ht="15" hidden="false" customHeight="false" outlineLevel="0" collapsed="false">
      <c r="A24" s="6" t="s">
        <v>1500</v>
      </c>
      <c r="B24" s="6" t="n">
        <v>33</v>
      </c>
      <c r="C24" s="6" t="s">
        <v>1502</v>
      </c>
      <c r="D24" s="6" t="n">
        <v>2026</v>
      </c>
      <c r="E24" s="6" t="s">
        <v>1501</v>
      </c>
      <c r="F24" s="6"/>
      <c r="G24" s="6" t="s">
        <v>1503</v>
      </c>
      <c r="H24" s="6" t="s">
        <v>1504</v>
      </c>
      <c r="I24" s="6" t="s">
        <v>1505</v>
      </c>
      <c r="J24" s="6" t="s">
        <v>1506</v>
      </c>
      <c r="K24" s="6" t="s">
        <v>124</v>
      </c>
      <c r="L24" s="6"/>
      <c r="M24" s="6" t="n">
        <v>1</v>
      </c>
      <c r="N24" s="6"/>
      <c r="O24" s="6"/>
      <c r="P24" s="6"/>
      <c r="Q24" s="6"/>
      <c r="R24" s="6"/>
      <c r="S24" s="6" t="n">
        <f aca="false">SUM(L24:R24)</f>
        <v>1</v>
      </c>
      <c r="T24" s="6" t="s">
        <v>2041</v>
      </c>
      <c r="U24" s="6" t="s">
        <v>2075</v>
      </c>
      <c r="V24" s="6" t="s">
        <v>2076</v>
      </c>
      <c r="W24" s="6" t="s">
        <v>2043</v>
      </c>
      <c r="X24" s="6" t="s">
        <v>2044</v>
      </c>
    </row>
    <row r="25" customFormat="false" ht="15" hidden="false" customHeight="false" outlineLevel="0" collapsed="false">
      <c r="A25" s="6" t="s">
        <v>1508</v>
      </c>
      <c r="B25" s="6"/>
      <c r="C25" s="6" t="s">
        <v>1510</v>
      </c>
      <c r="D25" s="6" t="n">
        <v>2016</v>
      </c>
      <c r="E25" s="6" t="s">
        <v>1509</v>
      </c>
      <c r="F25" s="6"/>
      <c r="G25" s="6" t="s">
        <v>1511</v>
      </c>
      <c r="H25" s="6" t="s">
        <v>1512</v>
      </c>
      <c r="I25" s="6" t="s">
        <v>122</v>
      </c>
      <c r="J25" s="6" t="s">
        <v>1513</v>
      </c>
      <c r="K25" s="6" t="s">
        <v>124</v>
      </c>
      <c r="L25" s="6"/>
      <c r="M25" s="6"/>
      <c r="N25" s="6"/>
      <c r="O25" s="6"/>
      <c r="P25" s="6"/>
      <c r="Q25" s="6"/>
      <c r="R25" s="6"/>
      <c r="S25" s="6" t="n">
        <f aca="false">SUM(L25:R25)</f>
        <v>0</v>
      </c>
      <c r="T25" s="6" t="s">
        <v>2056</v>
      </c>
      <c r="U25" s="6"/>
      <c r="V25" s="6" t="s">
        <v>2077</v>
      </c>
      <c r="W25" s="6" t="s">
        <v>2058</v>
      </c>
      <c r="X25" s="6" t="s">
        <v>2070</v>
      </c>
    </row>
    <row r="26" customFormat="false" ht="15" hidden="false" customHeight="false" outlineLevel="0" collapsed="false">
      <c r="A26" s="6" t="s">
        <v>1519</v>
      </c>
      <c r="B26" s="6"/>
      <c r="C26" s="6" t="s">
        <v>1521</v>
      </c>
      <c r="D26" s="6" t="n">
        <v>2019</v>
      </c>
      <c r="E26" s="6" t="s">
        <v>1520</v>
      </c>
      <c r="F26" s="6"/>
      <c r="G26" s="6" t="s">
        <v>1522</v>
      </c>
      <c r="H26" s="6" t="s">
        <v>1523</v>
      </c>
      <c r="I26" s="6" t="s">
        <v>122</v>
      </c>
      <c r="J26" s="6" t="s">
        <v>1524</v>
      </c>
      <c r="K26" s="6" t="s">
        <v>124</v>
      </c>
      <c r="L26" s="6"/>
      <c r="M26" s="6"/>
      <c r="N26" s="6"/>
      <c r="O26" s="6"/>
      <c r="P26" s="6"/>
      <c r="Q26" s="6"/>
      <c r="R26" s="6"/>
      <c r="S26" s="6" t="n">
        <f aca="false">SUM(L26:R26)</f>
        <v>0</v>
      </c>
      <c r="T26" s="6" t="s">
        <v>2041</v>
      </c>
      <c r="U26" s="6"/>
      <c r="V26" s="6" t="s">
        <v>2078</v>
      </c>
      <c r="W26" s="6" t="s">
        <v>2043</v>
      </c>
      <c r="X26" s="6" t="s">
        <v>2070</v>
      </c>
    </row>
    <row r="27" customFormat="false" ht="15" hidden="false" customHeight="false" outlineLevel="0" collapsed="false">
      <c r="A27" s="6" t="s">
        <v>1537</v>
      </c>
      <c r="B27" s="6" t="n">
        <v>40</v>
      </c>
      <c r="C27" s="6" t="s">
        <v>1539</v>
      </c>
      <c r="D27" s="6" t="n">
        <v>2026</v>
      </c>
      <c r="E27" s="6" t="s">
        <v>1538</v>
      </c>
      <c r="F27" s="6"/>
      <c r="G27" s="6" t="s">
        <v>1540</v>
      </c>
      <c r="H27" s="6" t="s">
        <v>1541</v>
      </c>
      <c r="I27" s="6" t="s">
        <v>1542</v>
      </c>
      <c r="J27" s="6" t="s">
        <v>1543</v>
      </c>
      <c r="K27" s="6" t="s">
        <v>124</v>
      </c>
      <c r="L27" s="6"/>
      <c r="M27" s="6" t="n">
        <v>1</v>
      </c>
      <c r="N27" s="6"/>
      <c r="O27" s="6"/>
      <c r="P27" s="6" t="n">
        <v>1</v>
      </c>
      <c r="Q27" s="6"/>
      <c r="R27" s="6"/>
      <c r="S27" s="6" t="n">
        <f aca="false">SUM(L27:R27)</f>
        <v>2</v>
      </c>
      <c r="T27" s="6" t="s">
        <v>2041</v>
      </c>
      <c r="U27" s="6" t="s">
        <v>2079</v>
      </c>
      <c r="V27" s="6" t="s">
        <v>2080</v>
      </c>
      <c r="W27" s="6" t="s">
        <v>2043</v>
      </c>
      <c r="X27" s="6" t="s">
        <v>2070</v>
      </c>
    </row>
    <row r="28" customFormat="false" ht="15" hidden="false" customHeight="false" outlineLevel="0" collapsed="false">
      <c r="A28" s="6" t="s">
        <v>1554</v>
      </c>
      <c r="B28" s="6" t="n">
        <v>35</v>
      </c>
      <c r="C28" s="6" t="s">
        <v>1556</v>
      </c>
      <c r="D28" s="6" t="n">
        <v>2023</v>
      </c>
      <c r="E28" s="6" t="s">
        <v>1555</v>
      </c>
      <c r="F28" s="6"/>
      <c r="G28" s="6" t="s">
        <v>1557</v>
      </c>
      <c r="H28" s="6" t="s">
        <v>1558</v>
      </c>
      <c r="I28" s="6" t="s">
        <v>122</v>
      </c>
      <c r="J28" s="6" t="s">
        <v>1559</v>
      </c>
      <c r="K28" s="6" t="s">
        <v>124</v>
      </c>
      <c r="L28" s="6"/>
      <c r="M28" s="6"/>
      <c r="N28" s="6"/>
      <c r="O28" s="6"/>
      <c r="P28" s="6"/>
      <c r="Q28" s="6" t="n">
        <v>1</v>
      </c>
      <c r="R28" s="6" t="n">
        <v>1</v>
      </c>
      <c r="S28" s="6" t="n">
        <f aca="false">SUM(L28:R28)</f>
        <v>2</v>
      </c>
      <c r="T28" s="6" t="s">
        <v>2041</v>
      </c>
      <c r="U28" s="6" t="s">
        <v>2042</v>
      </c>
      <c r="V28" s="6" t="s">
        <v>2081</v>
      </c>
      <c r="W28" s="6" t="s">
        <v>2043</v>
      </c>
      <c r="X28" s="6" t="s">
        <v>2044</v>
      </c>
    </row>
    <row r="29" customFormat="false" ht="15" hidden="false" customHeight="false" outlineLevel="0" collapsed="false">
      <c r="A29" s="6" t="s">
        <v>1567</v>
      </c>
      <c r="B29" s="6"/>
      <c r="C29" s="6" t="s">
        <v>1563</v>
      </c>
      <c r="D29" s="6" t="n">
        <v>2023</v>
      </c>
      <c r="E29" s="6" t="s">
        <v>1568</v>
      </c>
      <c r="F29" s="6"/>
      <c r="G29" s="6" t="s">
        <v>1569</v>
      </c>
      <c r="H29" s="6" t="s">
        <v>1570</v>
      </c>
      <c r="I29" s="6" t="s">
        <v>179</v>
      </c>
      <c r="J29" s="6" t="s">
        <v>1571</v>
      </c>
      <c r="K29" s="6" t="s">
        <v>124</v>
      </c>
      <c r="L29" s="6"/>
      <c r="M29" s="6"/>
      <c r="N29" s="6"/>
      <c r="O29" s="6"/>
      <c r="P29" s="6"/>
      <c r="Q29" s="6"/>
      <c r="R29" s="6"/>
      <c r="S29" s="6" t="n">
        <f aca="false">SUM(L29:R29)</f>
        <v>0</v>
      </c>
      <c r="T29" s="6" t="s">
        <v>2041</v>
      </c>
      <c r="U29" s="6"/>
      <c r="V29" s="6" t="s">
        <v>2082</v>
      </c>
      <c r="W29" s="6" t="s">
        <v>2043</v>
      </c>
      <c r="X29" s="6" t="s">
        <v>2044</v>
      </c>
    </row>
    <row r="30" customFormat="false" ht="15" hidden="false" customHeight="false" outlineLevel="0" collapsed="false">
      <c r="A30" s="6" t="s">
        <v>1573</v>
      </c>
      <c r="B30" s="6"/>
      <c r="C30" s="6" t="s">
        <v>1575</v>
      </c>
      <c r="D30" s="6" t="n">
        <v>2018</v>
      </c>
      <c r="E30" s="6" t="s">
        <v>1574</v>
      </c>
      <c r="F30" s="6"/>
      <c r="G30" s="6" t="s">
        <v>1576</v>
      </c>
      <c r="H30" s="6" t="s">
        <v>1577</v>
      </c>
      <c r="I30" s="6" t="s">
        <v>122</v>
      </c>
      <c r="J30" s="6" t="s">
        <v>1578</v>
      </c>
      <c r="K30" s="6" t="s">
        <v>124</v>
      </c>
      <c r="L30" s="6"/>
      <c r="M30" s="6"/>
      <c r="N30" s="6"/>
      <c r="O30" s="6"/>
      <c r="P30" s="6"/>
      <c r="Q30" s="6"/>
      <c r="R30" s="6"/>
      <c r="S30" s="6" t="n">
        <f aca="false">SUM(L30:R30)</f>
        <v>0</v>
      </c>
      <c r="T30" s="6" t="s">
        <v>2041</v>
      </c>
      <c r="U30" s="6"/>
      <c r="V30" s="6" t="s">
        <v>2083</v>
      </c>
      <c r="W30" s="6" t="s">
        <v>2043</v>
      </c>
      <c r="X30" s="6" t="s">
        <v>2048</v>
      </c>
    </row>
    <row r="31" customFormat="false" ht="15" hidden="false" customHeight="false" outlineLevel="0" collapsed="false">
      <c r="A31" s="6" t="s">
        <v>1580</v>
      </c>
      <c r="B31" s="6"/>
      <c r="C31" s="6" t="s">
        <v>1582</v>
      </c>
      <c r="D31" s="6" t="n">
        <v>2021</v>
      </c>
      <c r="E31" s="6" t="s">
        <v>1581</v>
      </c>
      <c r="F31" s="6"/>
      <c r="G31" s="6" t="s">
        <v>1583</v>
      </c>
      <c r="H31" s="6" t="s">
        <v>1584</v>
      </c>
      <c r="I31" s="6" t="s">
        <v>179</v>
      </c>
      <c r="J31" s="6" t="s">
        <v>1585</v>
      </c>
      <c r="K31" s="6" t="s">
        <v>124</v>
      </c>
      <c r="L31" s="6"/>
      <c r="M31" s="6"/>
      <c r="N31" s="6"/>
      <c r="O31" s="6"/>
      <c r="P31" s="6"/>
      <c r="Q31" s="6"/>
      <c r="R31" s="6"/>
      <c r="S31" s="6" t="n">
        <f aca="false">SUM(L31:R31)</f>
        <v>0</v>
      </c>
      <c r="T31" s="6" t="s">
        <v>2056</v>
      </c>
      <c r="U31" s="6"/>
      <c r="V31" s="6" t="s">
        <v>2077</v>
      </c>
      <c r="W31" s="6" t="s">
        <v>2058</v>
      </c>
      <c r="X31" s="6" t="s">
        <v>2044</v>
      </c>
    </row>
    <row r="32" customFormat="false" ht="15" hidden="false" customHeight="false" outlineLevel="0" collapsed="false">
      <c r="A32" s="6" t="s">
        <v>1586</v>
      </c>
      <c r="B32" s="6"/>
      <c r="C32" s="6" t="s">
        <v>1588</v>
      </c>
      <c r="D32" s="6" t="n">
        <v>2021</v>
      </c>
      <c r="E32" s="6" t="s">
        <v>1587</v>
      </c>
      <c r="F32" s="6"/>
      <c r="G32" s="6" t="s">
        <v>1589</v>
      </c>
      <c r="H32" s="6" t="s">
        <v>1590</v>
      </c>
      <c r="I32" s="6" t="s">
        <v>135</v>
      </c>
      <c r="J32" s="6" t="s">
        <v>1591</v>
      </c>
      <c r="K32" s="6" t="s">
        <v>124</v>
      </c>
      <c r="L32" s="6"/>
      <c r="M32" s="6"/>
      <c r="N32" s="6"/>
      <c r="O32" s="6"/>
      <c r="P32" s="6"/>
      <c r="Q32" s="6"/>
      <c r="R32" s="6"/>
      <c r="S32" s="6" t="n">
        <f aca="false">SUM(L32:R32)</f>
        <v>0</v>
      </c>
      <c r="T32" s="6" t="s">
        <v>2056</v>
      </c>
      <c r="U32" s="6"/>
      <c r="V32" s="6" t="s">
        <v>2084</v>
      </c>
      <c r="W32" s="6" t="s">
        <v>2058</v>
      </c>
      <c r="X32" s="6" t="s">
        <v>2044</v>
      </c>
    </row>
    <row r="33" customFormat="false" ht="15" hidden="false" customHeight="false" outlineLevel="0" collapsed="false">
      <c r="A33" s="6" t="s">
        <v>1593</v>
      </c>
      <c r="B33" s="6"/>
      <c r="C33" s="6" t="s">
        <v>1595</v>
      </c>
      <c r="D33" s="6" t="n">
        <v>2019</v>
      </c>
      <c r="E33" s="6" t="s">
        <v>1594</v>
      </c>
      <c r="F33" s="6"/>
      <c r="G33" s="6" t="s">
        <v>1596</v>
      </c>
      <c r="H33" s="6" t="s">
        <v>1597</v>
      </c>
      <c r="I33" s="6" t="s">
        <v>272</v>
      </c>
      <c r="J33" s="6" t="s">
        <v>1598</v>
      </c>
      <c r="K33" s="6" t="s">
        <v>124</v>
      </c>
      <c r="L33" s="6"/>
      <c r="M33" s="6"/>
      <c r="N33" s="6"/>
      <c r="O33" s="6"/>
      <c r="P33" s="6"/>
      <c r="Q33" s="6"/>
      <c r="R33" s="6"/>
      <c r="S33" s="6" t="n">
        <f aca="false">SUM(L33:R33)</f>
        <v>0</v>
      </c>
      <c r="T33" s="6" t="s">
        <v>2056</v>
      </c>
      <c r="U33" s="6"/>
      <c r="V33" s="6" t="s">
        <v>2085</v>
      </c>
      <c r="W33" s="6" t="s">
        <v>2058</v>
      </c>
      <c r="X33" s="6" t="s">
        <v>2044</v>
      </c>
    </row>
    <row r="34" customFormat="false" ht="15" hidden="false" customHeight="false" outlineLevel="0" collapsed="false">
      <c r="A34" s="6" t="s">
        <v>1610</v>
      </c>
      <c r="B34" s="6" t="n">
        <v>38</v>
      </c>
      <c r="C34" s="6" t="s">
        <v>1612</v>
      </c>
      <c r="D34" s="6" t="n">
        <v>2021</v>
      </c>
      <c r="E34" s="6" t="s">
        <v>1611</v>
      </c>
      <c r="F34" s="6"/>
      <c r="G34" s="6" t="s">
        <v>1613</v>
      </c>
      <c r="H34" s="6" t="s">
        <v>1614</v>
      </c>
      <c r="I34" s="6" t="s">
        <v>1615</v>
      </c>
      <c r="J34" s="6" t="s">
        <v>1616</v>
      </c>
      <c r="K34" s="6" t="s">
        <v>124</v>
      </c>
      <c r="L34" s="6" t="n">
        <v>1</v>
      </c>
      <c r="M34" s="6" t="n">
        <v>1</v>
      </c>
      <c r="N34" s="6"/>
      <c r="O34" s="6"/>
      <c r="P34" s="6"/>
      <c r="Q34" s="6"/>
      <c r="R34" s="6" t="n">
        <v>1</v>
      </c>
      <c r="S34" s="6" t="n">
        <f aca="false">SUM(L34:R34)</f>
        <v>3</v>
      </c>
      <c r="T34" s="6" t="s">
        <v>2041</v>
      </c>
      <c r="U34" s="6" t="s">
        <v>2042</v>
      </c>
      <c r="V34" s="6" t="s">
        <v>2086</v>
      </c>
      <c r="W34" s="6" t="s">
        <v>2043</v>
      </c>
      <c r="X34" s="6" t="s">
        <v>2044</v>
      </c>
    </row>
    <row r="35" customFormat="false" ht="15" hidden="false" customHeight="false" outlineLevel="0" collapsed="false">
      <c r="A35" s="6" t="s">
        <v>1626</v>
      </c>
      <c r="B35" s="6"/>
      <c r="C35" s="6" t="s">
        <v>1628</v>
      </c>
      <c r="D35" s="6" t="n">
        <v>2020</v>
      </c>
      <c r="E35" s="6" t="s">
        <v>1627</v>
      </c>
      <c r="F35" s="6"/>
      <c r="G35" s="6" t="s">
        <v>1629</v>
      </c>
      <c r="H35" s="6" t="s">
        <v>1630</v>
      </c>
      <c r="I35" s="6" t="s">
        <v>272</v>
      </c>
      <c r="J35" s="6" t="s">
        <v>1598</v>
      </c>
      <c r="K35" s="6" t="s">
        <v>124</v>
      </c>
      <c r="L35" s="6"/>
      <c r="M35" s="6"/>
      <c r="N35" s="6"/>
      <c r="O35" s="6"/>
      <c r="P35" s="6"/>
      <c r="Q35" s="6"/>
      <c r="R35" s="6"/>
      <c r="S35" s="6" t="n">
        <f aca="false">SUM(L35:R35)</f>
        <v>0</v>
      </c>
      <c r="T35" s="6" t="s">
        <v>2056</v>
      </c>
      <c r="U35" s="6"/>
      <c r="V35" s="6" t="s">
        <v>2087</v>
      </c>
      <c r="W35" s="6" t="s">
        <v>2058</v>
      </c>
      <c r="X35" s="6" t="s">
        <v>2044</v>
      </c>
    </row>
    <row r="36" customFormat="false" ht="15" hidden="false" customHeight="false" outlineLevel="0" collapsed="false">
      <c r="A36" s="6" t="s">
        <v>1643</v>
      </c>
      <c r="B36" s="6" t="n">
        <v>32</v>
      </c>
      <c r="C36" s="6" t="s">
        <v>1645</v>
      </c>
      <c r="D36" s="6" t="n">
        <v>2024</v>
      </c>
      <c r="E36" s="6" t="s">
        <v>1644</v>
      </c>
      <c r="F36" s="6"/>
      <c r="G36" s="6" t="s">
        <v>1646</v>
      </c>
      <c r="H36" s="6" t="s">
        <v>1647</v>
      </c>
      <c r="I36" s="6" t="s">
        <v>1648</v>
      </c>
      <c r="J36" s="6" t="s">
        <v>1649</v>
      </c>
      <c r="K36" s="6" t="s">
        <v>124</v>
      </c>
      <c r="L36" s="6" t="n">
        <v>1</v>
      </c>
      <c r="M36" s="6"/>
      <c r="N36" s="6"/>
      <c r="O36" s="6"/>
      <c r="P36" s="6"/>
      <c r="Q36" s="6"/>
      <c r="R36" s="6" t="n">
        <v>1</v>
      </c>
      <c r="S36" s="6" t="n">
        <f aca="false">SUM(L36:R36)</f>
        <v>2</v>
      </c>
      <c r="T36" s="6" t="s">
        <v>2041</v>
      </c>
      <c r="U36" s="6" t="s">
        <v>2042</v>
      </c>
      <c r="V36" s="6" t="s">
        <v>2088</v>
      </c>
      <c r="W36" s="6" t="s">
        <v>2043</v>
      </c>
      <c r="X36" s="6" t="s">
        <v>2044</v>
      </c>
    </row>
    <row r="37" customFormat="false" ht="15" hidden="false" customHeight="false" outlineLevel="0" collapsed="false">
      <c r="A37" s="6" t="s">
        <v>1651</v>
      </c>
      <c r="B37" s="6"/>
      <c r="C37" s="6" t="s">
        <v>1653</v>
      </c>
      <c r="D37" s="6" t="n">
        <v>2025</v>
      </c>
      <c r="E37" s="6" t="s">
        <v>1652</v>
      </c>
      <c r="F37" s="6"/>
      <c r="G37" s="6" t="s">
        <v>1654</v>
      </c>
      <c r="H37" s="6" t="s">
        <v>1655</v>
      </c>
      <c r="I37" s="6" t="s">
        <v>1378</v>
      </c>
      <c r="J37" s="6" t="s">
        <v>1656</v>
      </c>
      <c r="K37" s="6" t="s">
        <v>124</v>
      </c>
      <c r="L37" s="6"/>
      <c r="M37" s="6"/>
      <c r="N37" s="6"/>
      <c r="O37" s="6"/>
      <c r="P37" s="6"/>
      <c r="Q37" s="6"/>
      <c r="R37" s="6"/>
      <c r="S37" s="6" t="n">
        <f aca="false">SUM(L37:R37)</f>
        <v>0</v>
      </c>
      <c r="T37" s="6" t="s">
        <v>2041</v>
      </c>
      <c r="U37" s="6"/>
      <c r="V37" s="6" t="s">
        <v>2089</v>
      </c>
      <c r="W37" s="6" t="s">
        <v>2043</v>
      </c>
      <c r="X37" s="6" t="s">
        <v>2044</v>
      </c>
    </row>
    <row r="38" customFormat="false" ht="15" hidden="false" customHeight="false" outlineLevel="0" collapsed="false">
      <c r="A38" s="6" t="s">
        <v>1658</v>
      </c>
      <c r="B38" s="6" t="n">
        <v>34</v>
      </c>
      <c r="C38" s="6" t="s">
        <v>1660</v>
      </c>
      <c r="D38" s="6" t="n">
        <v>2020</v>
      </c>
      <c r="E38" s="6" t="s">
        <v>1659</v>
      </c>
      <c r="F38" s="6"/>
      <c r="G38" s="6" t="s">
        <v>1661</v>
      </c>
      <c r="H38" s="6" t="s">
        <v>1662</v>
      </c>
      <c r="I38" s="6" t="s">
        <v>122</v>
      </c>
      <c r="J38" s="6" t="s">
        <v>1663</v>
      </c>
      <c r="K38" s="6" t="s">
        <v>124</v>
      </c>
      <c r="L38" s="6"/>
      <c r="M38" s="6"/>
      <c r="N38" s="6"/>
      <c r="O38" s="6"/>
      <c r="P38" s="6"/>
      <c r="Q38" s="6"/>
      <c r="R38" s="6"/>
      <c r="S38" s="6" t="n">
        <f aca="false">SUM(L38:R38)</f>
        <v>0</v>
      </c>
      <c r="T38" s="6" t="s">
        <v>2041</v>
      </c>
      <c r="U38" s="6"/>
      <c r="V38" s="6" t="s">
        <v>2090</v>
      </c>
      <c r="W38" s="6" t="s">
        <v>2043</v>
      </c>
      <c r="X38" s="6" t="s">
        <v>2044</v>
      </c>
    </row>
    <row r="39" customFormat="false" ht="15" hidden="false" customHeight="false" outlineLevel="0" collapsed="false">
      <c r="A39" s="6" t="s">
        <v>1672</v>
      </c>
      <c r="B39" s="6" t="n">
        <v>47</v>
      </c>
      <c r="C39" s="6" t="s">
        <v>1674</v>
      </c>
      <c r="D39" s="6" t="n">
        <v>2022</v>
      </c>
      <c r="E39" s="6" t="s">
        <v>1673</v>
      </c>
      <c r="F39" s="6"/>
      <c r="G39" s="6" t="s">
        <v>1675</v>
      </c>
      <c r="H39" s="6" t="s">
        <v>1676</v>
      </c>
      <c r="I39" s="6" t="s">
        <v>122</v>
      </c>
      <c r="J39" s="6" t="s">
        <v>1677</v>
      </c>
      <c r="K39" s="6" t="s">
        <v>124</v>
      </c>
      <c r="L39" s="6"/>
      <c r="M39" s="6"/>
      <c r="N39" s="6"/>
      <c r="O39" s="6"/>
      <c r="P39" s="6"/>
      <c r="Q39" s="6"/>
      <c r="R39" s="6"/>
      <c r="S39" s="6" t="n">
        <f aca="false">SUM(L39:R39)</f>
        <v>0</v>
      </c>
      <c r="T39" s="6" t="s">
        <v>2041</v>
      </c>
      <c r="U39" s="6" t="s">
        <v>2047</v>
      </c>
      <c r="V39" s="6" t="s">
        <v>2091</v>
      </c>
      <c r="W39" s="6" t="s">
        <v>2043</v>
      </c>
      <c r="X39" s="6" t="s">
        <v>2044</v>
      </c>
    </row>
    <row r="40" customFormat="false" ht="15" hidden="false" customHeight="false" outlineLevel="0" collapsed="false">
      <c r="A40" s="6" t="s">
        <v>1680</v>
      </c>
      <c r="B40" s="6"/>
      <c r="C40" s="6" t="s">
        <v>1682</v>
      </c>
      <c r="D40" s="6" t="n">
        <v>2018</v>
      </c>
      <c r="E40" s="6" t="s">
        <v>1681</v>
      </c>
      <c r="F40" s="6"/>
      <c r="G40" s="6" t="s">
        <v>1683</v>
      </c>
      <c r="H40" s="6" t="s">
        <v>1684</v>
      </c>
      <c r="I40" s="6" t="s">
        <v>122</v>
      </c>
      <c r="J40" s="6" t="s">
        <v>1685</v>
      </c>
      <c r="K40" s="6" t="s">
        <v>124</v>
      </c>
      <c r="L40" s="6"/>
      <c r="M40" s="6"/>
      <c r="N40" s="6"/>
      <c r="O40" s="6"/>
      <c r="P40" s="6"/>
      <c r="Q40" s="6"/>
      <c r="R40" s="6"/>
      <c r="S40" s="6" t="n">
        <f aca="false">SUM(L40:R40)</f>
        <v>0</v>
      </c>
      <c r="T40" s="6" t="s">
        <v>2056</v>
      </c>
      <c r="U40" s="6"/>
      <c r="V40" s="6" t="s">
        <v>2092</v>
      </c>
      <c r="W40" s="6" t="s">
        <v>2058</v>
      </c>
      <c r="X40" s="6" t="s">
        <v>2044</v>
      </c>
    </row>
    <row r="41" customFormat="false" ht="15" hidden="false" customHeight="false" outlineLevel="0" collapsed="false">
      <c r="A41" s="6" t="s">
        <v>1687</v>
      </c>
      <c r="B41" s="6" t="n">
        <v>37</v>
      </c>
      <c r="C41" s="6" t="s">
        <v>1689</v>
      </c>
      <c r="D41" s="6" t="n">
        <v>2023</v>
      </c>
      <c r="E41" s="6" t="s">
        <v>1688</v>
      </c>
      <c r="F41" s="6"/>
      <c r="G41" s="6" t="s">
        <v>1690</v>
      </c>
      <c r="H41" s="6" t="s">
        <v>1691</v>
      </c>
      <c r="I41" s="6" t="s">
        <v>1378</v>
      </c>
      <c r="J41" s="6" t="s">
        <v>1692</v>
      </c>
      <c r="K41" s="6" t="s">
        <v>124</v>
      </c>
      <c r="L41" s="6" t="n">
        <v>1</v>
      </c>
      <c r="M41" s="6"/>
      <c r="N41" s="6"/>
      <c r="O41" s="6"/>
      <c r="P41" s="6"/>
      <c r="Q41" s="6"/>
      <c r="R41" s="6" t="n">
        <v>1</v>
      </c>
      <c r="S41" s="6" t="n">
        <f aca="false">SUM(L41:R41)</f>
        <v>2</v>
      </c>
      <c r="T41" s="6" t="s">
        <v>2041</v>
      </c>
      <c r="U41" s="6" t="s">
        <v>2093</v>
      </c>
      <c r="V41" s="6" t="s">
        <v>2094</v>
      </c>
      <c r="W41" s="6" t="s">
        <v>2043</v>
      </c>
      <c r="X41" s="6" t="s">
        <v>2044</v>
      </c>
    </row>
    <row r="42" customFormat="false" ht="15" hidden="false" customHeight="false" outlineLevel="0" collapsed="false">
      <c r="A42" s="6" t="s">
        <v>1708</v>
      </c>
      <c r="B42" s="6"/>
      <c r="C42" s="6" t="s">
        <v>1710</v>
      </c>
      <c r="D42" s="6" t="n">
        <v>2023</v>
      </c>
      <c r="E42" s="6" t="s">
        <v>1709</v>
      </c>
      <c r="F42" s="6"/>
      <c r="G42" s="6" t="s">
        <v>1711</v>
      </c>
      <c r="H42" s="6" t="s">
        <v>1712</v>
      </c>
      <c r="I42" s="6" t="s">
        <v>261</v>
      </c>
      <c r="J42" s="6" t="s">
        <v>1713</v>
      </c>
      <c r="K42" s="6" t="s">
        <v>124</v>
      </c>
      <c r="L42" s="6"/>
      <c r="M42" s="6"/>
      <c r="N42" s="6"/>
      <c r="O42" s="6"/>
      <c r="P42" s="6"/>
      <c r="Q42" s="6"/>
      <c r="R42" s="6"/>
      <c r="S42" s="6" t="n">
        <f aca="false">SUM(L42:R42)</f>
        <v>0</v>
      </c>
      <c r="T42" s="6" t="s">
        <v>2056</v>
      </c>
      <c r="U42" s="6"/>
      <c r="V42" s="6" t="s">
        <v>2095</v>
      </c>
      <c r="W42" s="6" t="s">
        <v>2058</v>
      </c>
      <c r="X42" s="6" t="s">
        <v>2052</v>
      </c>
    </row>
    <row r="43" customFormat="false" ht="15" hidden="false" customHeight="false" outlineLevel="0" collapsed="false">
      <c r="A43" s="6" t="s">
        <v>1715</v>
      </c>
      <c r="B43" s="6"/>
      <c r="C43" s="6" t="s">
        <v>1717</v>
      </c>
      <c r="D43" s="6" t="n">
        <v>2017</v>
      </c>
      <c r="E43" s="6" t="s">
        <v>1716</v>
      </c>
      <c r="F43" s="6"/>
      <c r="G43" s="6" t="s">
        <v>1718</v>
      </c>
      <c r="H43" s="6" t="s">
        <v>1719</v>
      </c>
      <c r="I43" s="6" t="s">
        <v>261</v>
      </c>
      <c r="J43" s="6" t="s">
        <v>1720</v>
      </c>
      <c r="K43" s="6" t="s">
        <v>124</v>
      </c>
      <c r="L43" s="6"/>
      <c r="M43" s="6"/>
      <c r="N43" s="6"/>
      <c r="O43" s="6"/>
      <c r="P43" s="6"/>
      <c r="Q43" s="6"/>
      <c r="R43" s="6"/>
      <c r="S43" s="6" t="n">
        <f aca="false">SUM(L43:R43)</f>
        <v>0</v>
      </c>
      <c r="T43" s="6" t="s">
        <v>2056</v>
      </c>
      <c r="U43" s="6"/>
      <c r="V43" s="6" t="s">
        <v>2096</v>
      </c>
      <c r="W43" s="6" t="s">
        <v>2058</v>
      </c>
      <c r="X43" s="6" t="s">
        <v>2044</v>
      </c>
    </row>
    <row r="44" customFormat="false" ht="15" hidden="false" customHeight="false" outlineLevel="0" collapsed="false">
      <c r="A44" s="6" t="s">
        <v>1727</v>
      </c>
      <c r="B44" s="6"/>
      <c r="C44" s="6" t="s">
        <v>1729</v>
      </c>
      <c r="D44" s="6" t="n">
        <v>2020</v>
      </c>
      <c r="E44" s="6" t="s">
        <v>1728</v>
      </c>
      <c r="F44" s="6"/>
      <c r="G44" s="6" t="s">
        <v>1730</v>
      </c>
      <c r="H44" s="6" t="s">
        <v>1731</v>
      </c>
      <c r="I44" s="6" t="s">
        <v>179</v>
      </c>
      <c r="J44" s="6" t="s">
        <v>1732</v>
      </c>
      <c r="K44" s="6" t="s">
        <v>124</v>
      </c>
      <c r="L44" s="6"/>
      <c r="M44" s="6"/>
      <c r="N44" s="6"/>
      <c r="O44" s="6"/>
      <c r="P44" s="6"/>
      <c r="Q44" s="6"/>
      <c r="R44" s="6"/>
      <c r="S44" s="6" t="n">
        <f aca="false">SUM(L44:R44)</f>
        <v>0</v>
      </c>
      <c r="T44" s="6" t="s">
        <v>2056</v>
      </c>
      <c r="U44" s="6"/>
      <c r="V44" s="6" t="s">
        <v>2097</v>
      </c>
      <c r="W44" s="6" t="s">
        <v>2058</v>
      </c>
      <c r="X44" s="6" t="s">
        <v>2044</v>
      </c>
    </row>
    <row r="45" customFormat="false" ht="15" hidden="false" customHeight="false" outlineLevel="0" collapsed="false">
      <c r="A45" s="6" t="s">
        <v>1738</v>
      </c>
      <c r="B45" s="6"/>
      <c r="C45" s="6" t="s">
        <v>1740</v>
      </c>
      <c r="D45" s="6" t="n">
        <v>2016</v>
      </c>
      <c r="E45" s="6" t="s">
        <v>1739</v>
      </c>
      <c r="F45" s="6"/>
      <c r="G45" s="6" t="s">
        <v>1741</v>
      </c>
      <c r="H45" s="6" t="s">
        <v>1742</v>
      </c>
      <c r="I45" s="6" t="s">
        <v>122</v>
      </c>
      <c r="J45" s="6" t="s">
        <v>1743</v>
      </c>
      <c r="K45" s="6" t="s">
        <v>124</v>
      </c>
      <c r="L45" s="6"/>
      <c r="M45" s="6"/>
      <c r="N45" s="6"/>
      <c r="O45" s="6"/>
      <c r="P45" s="6"/>
      <c r="Q45" s="6"/>
      <c r="R45" s="6"/>
      <c r="S45" s="6" t="n">
        <f aca="false">SUM(L45:R45)</f>
        <v>0</v>
      </c>
      <c r="T45" s="6" t="s">
        <v>2056</v>
      </c>
      <c r="U45" s="6"/>
      <c r="V45" s="6" t="s">
        <v>2098</v>
      </c>
      <c r="W45" s="6" t="s">
        <v>2058</v>
      </c>
      <c r="X45" s="6" t="s">
        <v>2044</v>
      </c>
    </row>
    <row r="46" customFormat="false" ht="15" hidden="false" customHeight="false" outlineLevel="0" collapsed="false">
      <c r="A46" s="6" t="s">
        <v>1745</v>
      </c>
      <c r="B46" s="6"/>
      <c r="C46" s="6" t="s">
        <v>1747</v>
      </c>
      <c r="D46" s="6" t="n">
        <v>2023</v>
      </c>
      <c r="E46" s="6" t="s">
        <v>1746</v>
      </c>
      <c r="F46" s="6"/>
      <c r="G46" s="6" t="s">
        <v>1748</v>
      </c>
      <c r="H46" s="6" t="s">
        <v>1749</v>
      </c>
      <c r="I46" s="6" t="s">
        <v>1750</v>
      </c>
      <c r="J46" s="6" t="s">
        <v>1751</v>
      </c>
      <c r="K46" s="6" t="s">
        <v>124</v>
      </c>
      <c r="L46" s="6"/>
      <c r="M46" s="6"/>
      <c r="N46" s="6"/>
      <c r="O46" s="6"/>
      <c r="P46" s="6"/>
      <c r="Q46" s="6"/>
      <c r="R46" s="6"/>
      <c r="S46" s="6" t="n">
        <f aca="false">SUM(L46:R46)</f>
        <v>0</v>
      </c>
      <c r="T46" s="6" t="s">
        <v>2056</v>
      </c>
      <c r="U46" s="6"/>
      <c r="V46" s="6" t="s">
        <v>2099</v>
      </c>
      <c r="W46" s="6" t="s">
        <v>2058</v>
      </c>
      <c r="X46" s="6" t="s">
        <v>2044</v>
      </c>
    </row>
    <row r="47" customFormat="false" ht="15" hidden="false" customHeight="false" outlineLevel="0" collapsed="false">
      <c r="A47" s="6" t="s">
        <v>1770</v>
      </c>
      <c r="B47" s="6" t="n">
        <v>39</v>
      </c>
      <c r="C47" s="6" t="s">
        <v>1772</v>
      </c>
      <c r="D47" s="6" t="n">
        <v>2025</v>
      </c>
      <c r="E47" s="6" t="s">
        <v>1771</v>
      </c>
      <c r="F47" s="6"/>
      <c r="G47" s="6" t="s">
        <v>1773</v>
      </c>
      <c r="H47" s="6" t="s">
        <v>1774</v>
      </c>
      <c r="I47" s="6" t="s">
        <v>261</v>
      </c>
      <c r="J47" s="6" t="s">
        <v>1775</v>
      </c>
      <c r="K47" s="6" t="s">
        <v>124</v>
      </c>
      <c r="L47" s="6"/>
      <c r="M47" s="6" t="n">
        <v>1</v>
      </c>
      <c r="N47" s="6"/>
      <c r="O47" s="6"/>
      <c r="P47" s="6" t="n">
        <v>1</v>
      </c>
      <c r="Q47" s="6"/>
      <c r="R47" s="6" t="n">
        <v>1</v>
      </c>
      <c r="S47" s="6" t="n">
        <f aca="false">SUM(L47:R47)</f>
        <v>3</v>
      </c>
      <c r="T47" s="6" t="s">
        <v>2041</v>
      </c>
      <c r="U47" s="6" t="s">
        <v>2042</v>
      </c>
      <c r="V47" s="6" t="s">
        <v>2100</v>
      </c>
      <c r="W47" s="6" t="s">
        <v>2043</v>
      </c>
      <c r="X47" s="6" t="s">
        <v>2044</v>
      </c>
    </row>
    <row r="48" customFormat="false" ht="15" hidden="false" customHeight="false" outlineLevel="0" collapsed="false">
      <c r="A48" s="6" t="s">
        <v>1792</v>
      </c>
      <c r="B48" s="6" t="n">
        <v>43</v>
      </c>
      <c r="C48" s="6" t="s">
        <v>1794</v>
      </c>
      <c r="D48" s="6" t="n">
        <v>2026</v>
      </c>
      <c r="E48" s="6" t="s">
        <v>1793</v>
      </c>
      <c r="F48" s="6"/>
      <c r="G48" s="6" t="s">
        <v>1795</v>
      </c>
      <c r="H48" s="6" t="s">
        <v>1796</v>
      </c>
      <c r="I48" s="6" t="s">
        <v>1428</v>
      </c>
      <c r="J48" s="6" t="s">
        <v>1797</v>
      </c>
      <c r="K48" s="6" t="s">
        <v>137</v>
      </c>
      <c r="L48" s="6"/>
      <c r="M48" s="6"/>
      <c r="N48" s="6"/>
      <c r="O48" s="6"/>
      <c r="P48" s="6"/>
      <c r="Q48" s="6"/>
      <c r="R48" s="6"/>
      <c r="S48" s="6" t="n">
        <f aca="false">SUM(L48:R48)</f>
        <v>0</v>
      </c>
      <c r="T48" s="6" t="s">
        <v>2041</v>
      </c>
      <c r="U48" s="6"/>
      <c r="V48" s="6" t="s">
        <v>2101</v>
      </c>
      <c r="W48" s="6" t="s">
        <v>2043</v>
      </c>
      <c r="X48" s="6" t="s">
        <v>2044</v>
      </c>
    </row>
    <row r="49" customFormat="false" ht="15" hidden="false" customHeight="false" outlineLevel="0" collapsed="false">
      <c r="A49" s="6" t="s">
        <v>1799</v>
      </c>
      <c r="B49" s="6" t="n">
        <v>46</v>
      </c>
      <c r="C49" s="6" t="s">
        <v>1801</v>
      </c>
      <c r="D49" s="6" t="n">
        <v>2024</v>
      </c>
      <c r="E49" s="6" t="s">
        <v>1800</v>
      </c>
      <c r="F49" s="6"/>
      <c r="G49" s="6" t="s">
        <v>1802</v>
      </c>
      <c r="H49" s="6" t="s">
        <v>1803</v>
      </c>
      <c r="I49" s="6" t="s">
        <v>179</v>
      </c>
      <c r="J49" s="6" t="s">
        <v>1804</v>
      </c>
      <c r="K49" s="6" t="s">
        <v>124</v>
      </c>
      <c r="L49" s="6"/>
      <c r="M49" s="6"/>
      <c r="N49" s="6"/>
      <c r="O49" s="6"/>
      <c r="P49" s="6"/>
      <c r="Q49" s="6"/>
      <c r="R49" s="6"/>
      <c r="S49" s="6" t="n">
        <f aca="false">SUM(L49:R49)</f>
        <v>0</v>
      </c>
      <c r="T49" s="6" t="s">
        <v>2041</v>
      </c>
      <c r="U49" s="6" t="s">
        <v>2047</v>
      </c>
      <c r="V49" s="6" t="s">
        <v>2102</v>
      </c>
      <c r="W49" s="6" t="s">
        <v>2043</v>
      </c>
      <c r="X49" s="6" t="s">
        <v>2044</v>
      </c>
    </row>
    <row r="50" customFormat="false" ht="15" hidden="false" customHeight="false" outlineLevel="0" collapsed="false">
      <c r="A50" s="6" t="s">
        <v>1825</v>
      </c>
      <c r="B50" s="6"/>
      <c r="C50" s="6" t="s">
        <v>1827</v>
      </c>
      <c r="D50" s="6" t="n">
        <v>2018</v>
      </c>
      <c r="E50" s="6" t="s">
        <v>1826</v>
      </c>
      <c r="F50" s="6"/>
      <c r="G50" s="6" t="s">
        <v>1828</v>
      </c>
      <c r="H50" s="6" t="s">
        <v>1829</v>
      </c>
      <c r="I50" s="6" t="s">
        <v>179</v>
      </c>
      <c r="J50" s="6" t="s">
        <v>1830</v>
      </c>
      <c r="K50" s="6" t="s">
        <v>124</v>
      </c>
      <c r="L50" s="6"/>
      <c r="M50" s="6"/>
      <c r="N50" s="6"/>
      <c r="O50" s="6"/>
      <c r="P50" s="6"/>
      <c r="Q50" s="6"/>
      <c r="R50" s="6"/>
      <c r="S50" s="6" t="n">
        <f aca="false">SUM(L50:R50)</f>
        <v>0</v>
      </c>
      <c r="T50" s="6" t="s">
        <v>2056</v>
      </c>
      <c r="U50" s="6"/>
      <c r="V50" s="6" t="s">
        <v>2103</v>
      </c>
      <c r="W50" s="6" t="s">
        <v>2058</v>
      </c>
      <c r="X50" s="6" t="s">
        <v>2044</v>
      </c>
    </row>
    <row r="51" customFormat="false" ht="15" hidden="false" customHeight="false" outlineLevel="0" collapsed="false">
      <c r="A51" s="6" t="s">
        <v>1859</v>
      </c>
      <c r="B51" s="6"/>
      <c r="C51" s="6" t="s">
        <v>1861</v>
      </c>
      <c r="D51" s="6" t="n">
        <v>2019</v>
      </c>
      <c r="E51" s="6" t="s">
        <v>1860</v>
      </c>
      <c r="F51" s="6"/>
      <c r="G51" s="6" t="s">
        <v>1862</v>
      </c>
      <c r="H51" s="6" t="s">
        <v>1863</v>
      </c>
      <c r="I51" s="6" t="s">
        <v>179</v>
      </c>
      <c r="J51" s="6" t="s">
        <v>1864</v>
      </c>
      <c r="K51" s="6" t="s">
        <v>124</v>
      </c>
      <c r="L51" s="6"/>
      <c r="M51" s="6"/>
      <c r="N51" s="6"/>
      <c r="O51" s="6"/>
      <c r="P51" s="6"/>
      <c r="Q51" s="6"/>
      <c r="R51" s="6"/>
      <c r="S51" s="6" t="n">
        <f aca="false">SUM(L51:R51)</f>
        <v>0</v>
      </c>
      <c r="T51" s="6" t="s">
        <v>2056</v>
      </c>
      <c r="U51" s="6"/>
      <c r="V51" s="6" t="s">
        <v>2104</v>
      </c>
      <c r="W51" s="6" t="s">
        <v>2058</v>
      </c>
      <c r="X51" s="6" t="s">
        <v>2044</v>
      </c>
    </row>
    <row r="52" customFormat="false" ht="15" hidden="false" customHeight="false" outlineLevel="0" collapsed="false">
      <c r="A52" s="6" t="s">
        <v>1901</v>
      </c>
      <c r="B52" s="6"/>
      <c r="C52" s="6" t="s">
        <v>1903</v>
      </c>
      <c r="D52" s="6" t="n">
        <v>2026</v>
      </c>
      <c r="E52" s="6" t="s">
        <v>1902</v>
      </c>
      <c r="F52" s="6"/>
      <c r="G52" s="6" t="s">
        <v>1904</v>
      </c>
      <c r="H52" s="6" t="s">
        <v>1905</v>
      </c>
      <c r="I52" s="6" t="s">
        <v>1906</v>
      </c>
      <c r="J52" s="6" t="s">
        <v>1907</v>
      </c>
      <c r="K52" s="6" t="s">
        <v>124</v>
      </c>
      <c r="L52" s="6"/>
      <c r="M52" s="6"/>
      <c r="N52" s="6"/>
      <c r="O52" s="6"/>
      <c r="P52" s="6"/>
      <c r="Q52" s="6"/>
      <c r="R52" s="6"/>
      <c r="S52" s="6" t="n">
        <f aca="false">SUM(L52:R52)</f>
        <v>0</v>
      </c>
      <c r="T52" s="6" t="s">
        <v>2056</v>
      </c>
      <c r="U52" s="6"/>
      <c r="V52" s="6" t="s">
        <v>2105</v>
      </c>
      <c r="W52" s="6" t="s">
        <v>2058</v>
      </c>
      <c r="X52" s="6" t="s">
        <v>2046</v>
      </c>
    </row>
    <row r="53" customFormat="false" ht="15" hidden="false" customHeight="false" outlineLevel="0" collapsed="false">
      <c r="A53" s="6" t="s">
        <v>1957</v>
      </c>
      <c r="B53" s="6" t="n">
        <v>24</v>
      </c>
      <c r="C53" s="6" t="s">
        <v>1959</v>
      </c>
      <c r="D53" s="6" t="n">
        <v>2024</v>
      </c>
      <c r="E53" s="6" t="s">
        <v>1958</v>
      </c>
      <c r="F53" s="6"/>
      <c r="G53" s="6" t="s">
        <v>1960</v>
      </c>
      <c r="H53" s="6" t="s">
        <v>1961</v>
      </c>
      <c r="I53" s="6" t="s">
        <v>135</v>
      </c>
      <c r="J53" s="6" t="s">
        <v>1962</v>
      </c>
      <c r="K53" s="6" t="s">
        <v>137</v>
      </c>
      <c r="L53" s="6" t="n">
        <v>1</v>
      </c>
      <c r="M53" s="6"/>
      <c r="N53" s="6"/>
      <c r="O53" s="6"/>
      <c r="P53" s="6"/>
      <c r="Q53" s="6"/>
      <c r="R53" s="6"/>
      <c r="S53" s="6" t="n">
        <f aca="false">SUM(L53:R53)</f>
        <v>1</v>
      </c>
      <c r="T53" s="6" t="s">
        <v>2041</v>
      </c>
      <c r="U53" s="6" t="s">
        <v>2042</v>
      </c>
      <c r="V53" s="6" t="s">
        <v>2106</v>
      </c>
      <c r="W53" s="6" t="s">
        <v>2043</v>
      </c>
      <c r="X53" s="6" t="s">
        <v>2046</v>
      </c>
    </row>
    <row r="54" customFormat="false" ht="15" hidden="false" customHeight="false" outlineLevel="0" collapsed="false">
      <c r="A54" s="6" t="s">
        <v>1966</v>
      </c>
      <c r="B54" s="6" t="n">
        <v>26</v>
      </c>
      <c r="C54" s="6" t="s">
        <v>1968</v>
      </c>
      <c r="D54" s="6" t="n">
        <v>2026</v>
      </c>
      <c r="E54" s="6" t="s">
        <v>1967</v>
      </c>
      <c r="F54" s="6"/>
      <c r="G54" s="6" t="s">
        <v>1969</v>
      </c>
      <c r="H54" s="6" t="s">
        <v>1970</v>
      </c>
      <c r="I54" s="6" t="s">
        <v>135</v>
      </c>
      <c r="J54" s="6" t="s">
        <v>1971</v>
      </c>
      <c r="K54" s="6" t="s">
        <v>137</v>
      </c>
      <c r="L54" s="6" t="n">
        <v>1</v>
      </c>
      <c r="M54" s="6"/>
      <c r="N54" s="6"/>
      <c r="O54" s="6"/>
      <c r="P54" s="6"/>
      <c r="Q54" s="6"/>
      <c r="R54" s="6"/>
      <c r="S54" s="6" t="n">
        <f aca="false">SUM(L54:R54)</f>
        <v>1</v>
      </c>
      <c r="T54" s="6" t="s">
        <v>2041</v>
      </c>
      <c r="U54" s="6" t="s">
        <v>2042</v>
      </c>
      <c r="V54" s="6" t="s">
        <v>2107</v>
      </c>
      <c r="W54" s="6" t="s">
        <v>2043</v>
      </c>
      <c r="X54" s="6" t="s">
        <v>2046</v>
      </c>
    </row>
    <row r="55" customFormat="false" ht="15" hidden="false" customHeight="false" outlineLevel="0" collapsed="false">
      <c r="A55" s="6" t="s">
        <v>1983</v>
      </c>
      <c r="B55" s="6" t="n">
        <v>28</v>
      </c>
      <c r="C55" s="6" t="s">
        <v>1985</v>
      </c>
      <c r="D55" s="6" t="n">
        <v>2023</v>
      </c>
      <c r="E55" s="6" t="s">
        <v>1984</v>
      </c>
      <c r="F55" s="6"/>
      <c r="G55" s="6" t="s">
        <v>1986</v>
      </c>
      <c r="H55" s="6" t="s">
        <v>1987</v>
      </c>
      <c r="I55" s="6" t="s">
        <v>135</v>
      </c>
      <c r="J55" s="6" t="s">
        <v>1988</v>
      </c>
      <c r="K55" s="6" t="s">
        <v>137</v>
      </c>
      <c r="L55" s="6" t="n">
        <v>1</v>
      </c>
      <c r="M55" s="6"/>
      <c r="N55" s="6"/>
      <c r="O55" s="6"/>
      <c r="P55" s="6"/>
      <c r="Q55" s="6"/>
      <c r="R55" s="6"/>
      <c r="S55" s="6" t="n">
        <f aca="false">SUM(L55:R55)</f>
        <v>1</v>
      </c>
      <c r="T55" s="6" t="s">
        <v>2041</v>
      </c>
      <c r="U55" s="6" t="s">
        <v>2042</v>
      </c>
      <c r="V55" s="6" t="s">
        <v>2108</v>
      </c>
      <c r="W55" s="6" t="s">
        <v>2043</v>
      </c>
      <c r="X55" s="6" t="s">
        <v>2046</v>
      </c>
    </row>
    <row r="56" customFormat="false" ht="15" hidden="false" customHeight="false" outlineLevel="0" collapsed="false">
      <c r="A56" s="6" t="s">
        <v>1990</v>
      </c>
      <c r="B56" s="6" t="n">
        <v>29</v>
      </c>
      <c r="C56" s="6" t="s">
        <v>1992</v>
      </c>
      <c r="D56" s="6" t="n">
        <v>2026</v>
      </c>
      <c r="E56" s="6" t="s">
        <v>1991</v>
      </c>
      <c r="F56" s="6"/>
      <c r="G56" s="6" t="s">
        <v>1993</v>
      </c>
      <c r="H56" s="6" t="s">
        <v>1994</v>
      </c>
      <c r="I56" s="6" t="s">
        <v>135</v>
      </c>
      <c r="J56" s="6" t="s">
        <v>145</v>
      </c>
      <c r="K56" s="6" t="s">
        <v>137</v>
      </c>
      <c r="L56" s="6" t="n">
        <v>1</v>
      </c>
      <c r="M56" s="6"/>
      <c r="N56" s="6"/>
      <c r="O56" s="6"/>
      <c r="P56" s="6"/>
      <c r="Q56" s="6"/>
      <c r="R56" s="6"/>
      <c r="S56" s="6" t="n">
        <f aca="false">SUM(L56:R56)</f>
        <v>1</v>
      </c>
      <c r="T56" s="6" t="s">
        <v>2041</v>
      </c>
      <c r="U56" s="6" t="s">
        <v>2042</v>
      </c>
      <c r="V56" s="6" t="s">
        <v>2109</v>
      </c>
      <c r="W56" s="6" t="s">
        <v>2043</v>
      </c>
      <c r="X56" s="6" t="s">
        <v>2046</v>
      </c>
    </row>
    <row r="58" customFormat="false" ht="15" hidden="false" customHeight="false" outlineLevel="0" collapsed="false">
      <c r="A58" s="8" t="s">
        <v>2110</v>
      </c>
      <c r="L58" s="8" t="n">
        <f aca="false">SUM(L2:L56)</f>
        <v>14</v>
      </c>
      <c r="M58" s="8" t="n">
        <f aca="false">SUM(M2:M56)</f>
        <v>6</v>
      </c>
      <c r="N58" s="8" t="n">
        <f aca="false">SUM(N2:N56)</f>
        <v>1</v>
      </c>
      <c r="O58" s="8" t="n">
        <f aca="false">SUM(O2:O56)</f>
        <v>0</v>
      </c>
      <c r="P58" s="8" t="n">
        <f aca="false">SUM(P2:P56)</f>
        <v>2</v>
      </c>
      <c r="Q58" s="8" t="n">
        <f aca="false">SUM(Q2:Q56)</f>
        <v>3</v>
      </c>
      <c r="R58" s="8" t="n">
        <f aca="false">SUM(R2:R56)</f>
        <v>7</v>
      </c>
      <c r="S58" s="8" t="n">
        <f aca="false">SUM(S2:S56)</f>
        <v>33</v>
      </c>
    </row>
    <row r="59" customFormat="false" ht="15" hidden="false" customHeight="false" outlineLevel="0" collapsed="false">
      <c r="A59" s="8" t="s">
        <v>2111</v>
      </c>
      <c r="S59" s="9" t="n">
        <f aca="false">MAX(S2:S56)</f>
        <v>3</v>
      </c>
    </row>
    <row r="60" customFormat="false" ht="15" hidden="false" customHeight="false" outlineLevel="0" collapsed="false">
      <c r="A60" s="8" t="s">
        <v>2112</v>
      </c>
      <c r="K60" s="9" t="n">
        <f aca="false">COUNTIF(K2:K56,"Y")</f>
        <v>15</v>
      </c>
    </row>
    <row r="61" customFormat="false" ht="15" hidden="false" customHeight="false" outlineLevel="0" collapsed="false">
      <c r="A61" s="8" t="s">
        <v>2113</v>
      </c>
      <c r="T61" s="9" t="n">
        <f aca="false">COUNTIF(T2:T56,"Abstract only")</f>
        <v>23</v>
      </c>
    </row>
    <row r="63" customFormat="false" ht="15" hidden="false" customHeight="false" outlineLevel="0" collapsed="false">
      <c r="A63" s="8" t="s">
        <v>2114</v>
      </c>
    </row>
    <row r="64" customFormat="false" ht="15" hidden="false" customHeight="false" outlineLevel="0" collapsed="false">
      <c r="A64" s="6" t="s">
        <v>2115</v>
      </c>
      <c r="B64" s="6" t="n">
        <f aca="false">COUNTIF(T2:T56,"Full text")</f>
        <v>32</v>
      </c>
      <c r="C64" s="6" t="s">
        <v>2116</v>
      </c>
      <c r="D64" s="6" t="n">
        <f aca="false">_xlfn.MAXIFS(S2:S56,T2:T56,"Full text")</f>
        <v>3</v>
      </c>
      <c r="E64" s="6" t="s">
        <v>2117</v>
      </c>
      <c r="F64" s="6" t="n">
        <f aca="false">SUMIFS(O2:O56,T2:T56,"Full text")</f>
        <v>0</v>
      </c>
      <c r="G64" s="6" t="s">
        <v>2118</v>
      </c>
      <c r="H64" s="6" t="n">
        <f aca="false">COUNTIFS(K2:K56,"Y",T2:T56,"Full text")</f>
        <v>11</v>
      </c>
      <c r="I64" s="6" t="s">
        <v>2044</v>
      </c>
      <c r="J64" s="6" t="n">
        <f aca="false">COUNTIFS(X2:X56,"TEE or enclave",T2:T56,"Full text")</f>
        <v>15</v>
      </c>
      <c r="K64" s="6" t="s">
        <v>2046</v>
      </c>
      <c r="L64" s="6" t="n">
        <f aca="false">COUNTIFS(X2:X56,"PUF only",T2:T56,"Full text")</f>
        <v>8</v>
      </c>
      <c r="M64" s="6" t="s">
        <v>2070</v>
      </c>
      <c r="N64" s="6" t="n">
        <f aca="false">COUNTIFS(X2:X56,"Attestation without TEE",T2:T56,"Full text")</f>
        <v>3</v>
      </c>
      <c r="O64" s="6" t="s">
        <v>2052</v>
      </c>
      <c r="P64" s="6" t="n">
        <f aca="false">COUNTIFS(X2:X56,"Cryptography only",T2:T56,"Full text")</f>
        <v>2</v>
      </c>
      <c r="Q64" s="6" t="s">
        <v>2050</v>
      </c>
      <c r="R64" s="6" t="n">
        <f aca="false">COUNTIFS(X2:X56,"Breath or odor ML",T2:T56,"Full text")</f>
        <v>2</v>
      </c>
    </row>
    <row r="65" customFormat="false" ht="15" hidden="false" customHeight="false" outlineLevel="0" collapsed="false">
      <c r="A65" s="6" t="s">
        <v>2058</v>
      </c>
      <c r="B65" s="6" t="n">
        <f aca="false">COUNTIF(T2:T56,"Abstract only")</f>
        <v>23</v>
      </c>
      <c r="C65" s="6" t="s">
        <v>2116</v>
      </c>
      <c r="D65" s="6" t="n">
        <f aca="false">_xlfn.MAXIFS(S2:S56,T2:T56,"Abstract only")</f>
        <v>1</v>
      </c>
      <c r="E65" s="6" t="s">
        <v>2117</v>
      </c>
      <c r="F65" s="6" t="n">
        <f aca="false">SUMIFS(O2:O56,T2:T56,"Abstract only")</f>
        <v>0</v>
      </c>
      <c r="G65" s="6" t="s">
        <v>2118</v>
      </c>
      <c r="H65" s="6" t="n">
        <f aca="false">COUNTIFS(K2:K56,"Y",T2:T56,"Abstract only")</f>
        <v>4</v>
      </c>
      <c r="I65" s="6" t="s">
        <v>2044</v>
      </c>
      <c r="J65" s="6" t="n">
        <f aca="false">COUNTIFS(X2:X56,"TEE or enclave",T2:T56,"Abstract only")</f>
        <v>13</v>
      </c>
      <c r="K65" s="6" t="s">
        <v>2046</v>
      </c>
      <c r="L65" s="6" t="n">
        <f aca="false">COUNTIFS(X2:X56,"PUF only",T2:T56,"Abstract only")</f>
        <v>2</v>
      </c>
      <c r="M65" s="6" t="s">
        <v>2070</v>
      </c>
      <c r="N65" s="6" t="n">
        <f aca="false">COUNTIFS(X2:X56,"Attestation without TEE",T2:T56,"Abstract only")</f>
        <v>3</v>
      </c>
      <c r="O65" s="6" t="s">
        <v>2052</v>
      </c>
      <c r="P65" s="6" t="n">
        <f aca="false">COUNTIFS(X2:X56,"Cryptography only",T2:T56,"Abstract only")</f>
        <v>4</v>
      </c>
      <c r="Q65" s="6" t="s">
        <v>2050</v>
      </c>
      <c r="R65" s="6" t="n">
        <f aca="false">COUNTIFS(X2:X56,"Breath or odor ML",T2:T56,"Abstract only")</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60"/>
  </cols>
  <sheetData>
    <row r="1" customFormat="false" ht="15.75" hidden="false" customHeight="true" outlineLevel="0" collapsed="false">
      <c r="A1" s="5" t="s">
        <v>2119</v>
      </c>
      <c r="B1" s="5"/>
      <c r="C1" s="5"/>
    </row>
    <row r="2" customFormat="false" ht="15" hidden="false" customHeight="false" outlineLevel="0" collapsed="false">
      <c r="A2" s="6" t="s">
        <v>2120</v>
      </c>
      <c r="B2" s="6"/>
      <c r="C2" s="6"/>
    </row>
    <row r="3" customFormat="false" ht="15" hidden="false" customHeight="false" outlineLevel="0" collapsed="false">
      <c r="A3" s="6" t="s">
        <v>2121</v>
      </c>
      <c r="B3" s="6" t="n">
        <f aca="false">SUM('Search log'!E2:E9)</f>
        <v>429</v>
      </c>
      <c r="C3" s="6" t="s">
        <v>2122</v>
      </c>
    </row>
    <row r="4" customFormat="false" ht="15" hidden="false" customHeight="false" outlineLevel="0" collapsed="false">
      <c r="A4" s="6" t="s">
        <v>2123</v>
      </c>
      <c r="B4" s="6" t="n">
        <f aca="false">COUNTIF(Screening!$B$2:$B$3001,"Other*")</f>
        <v>6</v>
      </c>
      <c r="C4" s="6" t="s">
        <v>2124</v>
      </c>
    </row>
    <row r="5" customFormat="false" ht="15" hidden="false" customHeight="false" outlineLevel="0" collapsed="false">
      <c r="A5" s="6" t="s">
        <v>2125</v>
      </c>
      <c r="B5" s="6" t="n">
        <f aca="false">COUNTA(Screening!$A$2:$A$3001)</f>
        <v>435</v>
      </c>
      <c r="C5" s="6" t="s">
        <v>2126</v>
      </c>
    </row>
    <row r="6" customFormat="false" ht="15" hidden="false" customHeight="false" outlineLevel="0" collapsed="false">
      <c r="A6" s="6" t="s">
        <v>2127</v>
      </c>
      <c r="B6" s="6" t="str">
        <f aca="false">IF(B5=0,"not loaded yet",IF(B5=B3+B4,"OK","MISMATCH"))</f>
        <v>OK</v>
      </c>
      <c r="C6" s="6" t="s">
        <v>2128</v>
      </c>
    </row>
    <row r="7" customFormat="false" ht="15" hidden="false" customHeight="false" outlineLevel="0" collapsed="false">
      <c r="A7" s="6" t="s">
        <v>2129</v>
      </c>
      <c r="B7" s="6" t="n">
        <f aca="false">COUNTIF(Screening!$I$2:$I$3001,"?*")</f>
        <v>22</v>
      </c>
      <c r="C7" s="6" t="s">
        <v>2130</v>
      </c>
    </row>
    <row r="8" customFormat="false" ht="15" hidden="false" customHeight="false" outlineLevel="0" collapsed="false">
      <c r="A8" s="6" t="s">
        <v>2131</v>
      </c>
      <c r="B8" s="6"/>
      <c r="C8" s="6"/>
    </row>
    <row r="9" customFormat="false" ht="15" hidden="false" customHeight="false" outlineLevel="0" collapsed="false">
      <c r="A9" s="6" t="s">
        <v>2132</v>
      </c>
      <c r="B9" s="6" t="n">
        <f aca="false">B5-B7</f>
        <v>413</v>
      </c>
      <c r="C9" s="6"/>
    </row>
    <row r="10" customFormat="false" ht="15" hidden="false" customHeight="false" outlineLevel="0" collapsed="false">
      <c r="A10" s="6" t="s">
        <v>2133</v>
      </c>
      <c r="B10" s="6" t="n">
        <f aca="false">COUNTIF(Screening!$J$2:$J$3001,"Exclude")-COUNTIFS(Screening!$J$2:$J$3001,"Exclude",Screening!$K$2:$K$3001,"E4")</f>
        <v>341</v>
      </c>
      <c r="C10" s="6" t="s">
        <v>2134</v>
      </c>
    </row>
    <row r="11" customFormat="false" ht="15" hidden="false" customHeight="false" outlineLevel="0" collapsed="false">
      <c r="A11" s="6" t="s">
        <v>2135</v>
      </c>
      <c r="B11" s="6" t="n">
        <f aca="false">COUNTIFS(Screening!$J$2:$J$3001,"Exclude",Screening!$K$2:$K$3001,"E8")</f>
        <v>31</v>
      </c>
      <c r="C11" s="6" t="s">
        <v>2136</v>
      </c>
    </row>
    <row r="12" customFormat="false" ht="15" hidden="false" customHeight="false" outlineLevel="0" collapsed="false">
      <c r="A12" s="6" t="s">
        <v>2137</v>
      </c>
      <c r="B12" s="6" t="n">
        <f aca="false">B9-COUNTIF(Screening!$J$2:$J$3001,"Include")-COUNTIF(Screening!$J$2:$J$3001,"Maybe")-B10</f>
        <v>0</v>
      </c>
      <c r="C12" s="6" t="s">
        <v>2138</v>
      </c>
    </row>
    <row r="13" customFormat="false" ht="15" hidden="false" customHeight="false" outlineLevel="0" collapsed="false">
      <c r="A13" s="6" t="s">
        <v>2139</v>
      </c>
      <c r="B13" s="6" t="n">
        <f aca="false">COUNTIF(Screening!$J$2:$J$3001,"Include")+COUNTIF(Screening!$J$2:$J$3001,"Maybe")</f>
        <v>72</v>
      </c>
      <c r="C13" s="6"/>
    </row>
    <row r="14" customFormat="false" ht="15" hidden="false" customHeight="false" outlineLevel="0" collapsed="false">
      <c r="A14" s="6" t="s">
        <v>2140</v>
      </c>
      <c r="B14" s="6"/>
      <c r="C14" s="6"/>
    </row>
    <row r="15" customFormat="false" ht="15" hidden="false" customHeight="false" outlineLevel="0" collapsed="false">
      <c r="A15" s="6" t="s">
        <v>2141</v>
      </c>
      <c r="B15" s="6" t="n">
        <f aca="false">COUNTIFS(Screening!$L$2:$L$3001,"Exclude",Screening!$M$2:$M$3001,"E1")</f>
        <v>1</v>
      </c>
      <c r="C15" s="6"/>
    </row>
    <row r="16" customFormat="false" ht="15" hidden="false" customHeight="false" outlineLevel="0" collapsed="false">
      <c r="A16" s="6" t="s">
        <v>2142</v>
      </c>
      <c r="B16" s="6" t="n">
        <f aca="false">COUNTIFS(Screening!$L$2:$L$3001,"Exclude",Screening!$M$2:$M$3001,"E2")</f>
        <v>5</v>
      </c>
      <c r="C16" s="6"/>
    </row>
    <row r="17" customFormat="false" ht="15" hidden="false" customHeight="false" outlineLevel="0" collapsed="false">
      <c r="A17" s="6" t="s">
        <v>2143</v>
      </c>
      <c r="B17" s="6" t="n">
        <f aca="false">COUNTIFS(Screening!$L$2:$L$3001,"Exclude",Screening!$M$2:$M$3001,"E3")</f>
        <v>0</v>
      </c>
      <c r="C17" s="6"/>
    </row>
    <row r="18" customFormat="false" ht="15" hidden="false" customHeight="false" outlineLevel="0" collapsed="false">
      <c r="A18" s="6" t="s">
        <v>2144</v>
      </c>
      <c r="B18" s="6" t="n">
        <f aca="false">COUNTIFS(Screening!$L$2:$L$3001,"Exclude",Screening!$M$2:$M$3001,"E4")</f>
        <v>2</v>
      </c>
      <c r="C18" s="6"/>
    </row>
    <row r="19" customFormat="false" ht="15" hidden="false" customHeight="false" outlineLevel="0" collapsed="false">
      <c r="A19" s="6" t="s">
        <v>2145</v>
      </c>
      <c r="B19" s="6" t="n">
        <f aca="false">COUNTIFS(Screening!$L$2:$L$3001,"Exclude",Screening!$M$2:$M$3001,"E5")</f>
        <v>0</v>
      </c>
      <c r="C19" s="6"/>
    </row>
    <row r="20" customFormat="false" ht="15" hidden="false" customHeight="false" outlineLevel="0" collapsed="false">
      <c r="A20" s="6" t="s">
        <v>2146</v>
      </c>
      <c r="B20" s="6" t="n">
        <f aca="false">COUNTIFS(Screening!$L$2:$L$3001,"Exclude",Screening!$M$2:$M$3001,"E6")</f>
        <v>0</v>
      </c>
      <c r="C20" s="6"/>
    </row>
    <row r="21" customFormat="false" ht="15" hidden="false" customHeight="false" outlineLevel="0" collapsed="false">
      <c r="A21" s="6" t="s">
        <v>2147</v>
      </c>
      <c r="B21" s="6" t="n">
        <f aca="false">COUNTIFS(Screening!$L$2:$L$3001,"Exclude",Screening!$M$2:$M$3001,"E7")</f>
        <v>5</v>
      </c>
      <c r="C21" s="6"/>
    </row>
    <row r="22" customFormat="false" ht="15" hidden="false" customHeight="false" outlineLevel="0" collapsed="false">
      <c r="A22" s="6" t="s">
        <v>2148</v>
      </c>
      <c r="B22" s="6" t="n">
        <f aca="false">COUNTIFS(Screening!$L$2:$L$3001,"Exclude",Screening!$M$2:$M$3001,"E8")</f>
        <v>4</v>
      </c>
      <c r="C22" s="6"/>
    </row>
    <row r="23" customFormat="false" ht="15" hidden="false" customHeight="false" outlineLevel="0" collapsed="false">
      <c r="A23" s="6" t="s">
        <v>2149</v>
      </c>
      <c r="B23" s="6" t="n">
        <f aca="false">SUM(B15:B22)</f>
        <v>17</v>
      </c>
      <c r="C23" s="6"/>
    </row>
    <row r="24" customFormat="false" ht="15" hidden="false" customHeight="false" outlineLevel="0" collapsed="false">
      <c r="A24" s="6" t="s">
        <v>2150</v>
      </c>
      <c r="B24" s="6"/>
      <c r="C24" s="6"/>
    </row>
    <row r="25" customFormat="false" ht="15" hidden="false" customHeight="false" outlineLevel="0" collapsed="false">
      <c r="A25" s="6" t="s">
        <v>2151</v>
      </c>
      <c r="B25" s="6" t="n">
        <f aca="false">COUNTIF(Screening!$L$2:$L$3001,"Include")</f>
        <v>55</v>
      </c>
      <c r="C25" s="6"/>
    </row>
    <row r="26" customFormat="false" ht="15" hidden="false" customHeight="false" outlineLevel="0" collapsed="false">
      <c r="A26" s="6" t="s">
        <v>2152</v>
      </c>
      <c r="B26" s="6" t="n">
        <f aca="false">COUNTIFS(Screening!$L$2:$L$3001,"Include",Screening!$R$2:$R$3001,"*abstract only*")</f>
        <v>23</v>
      </c>
      <c r="C26" s="6" t="s">
        <v>2153</v>
      </c>
    </row>
    <row r="27" customFormat="false" ht="15" hidden="false" customHeight="false" outlineLevel="0" collapsed="false">
      <c r="A27" s="6" t="s">
        <v>2154</v>
      </c>
      <c r="B27" s="6" t="n">
        <f aca="false">COUNTIFS(Screening!$L$2:$L$3001,"Include",Screening!$Q$2:$Q$3001,"Y")</f>
        <v>15</v>
      </c>
      <c r="C27" s="6" t="s">
        <v>2155</v>
      </c>
    </row>
    <row r="28" customFormat="false" ht="15" hidden="false" customHeight="false" outlineLevel="0" collapsed="false">
      <c r="A28" s="6" t="s">
        <v>2156</v>
      </c>
      <c r="B28" s="6" t="str">
        <f aca="false">IF(COUNTA(Screening!$L$2:$L$3001)=0,"full-text review not started",IF(B13=B23+B25,"OK","in progress"))</f>
        <v>OK</v>
      </c>
      <c r="C28" s="6"/>
    </row>
    <row r="30" customFormat="false" ht="15" hidden="false" customHeight="false" outlineLevel="0" collapsed="false">
      <c r="A30" s="10" t="s">
        <v>2157</v>
      </c>
    </row>
    <row r="31" customFormat="false" ht="15" hidden="false" customHeight="false" outlineLevel="0" collapsed="false">
      <c r="A31" s="11" t="s">
        <v>2158</v>
      </c>
      <c r="B31" s="11" t="n">
        <f aca="false">COUNTIFS(Screening!$L$2:$L$3001,"Include",Screening!$R$2:$R$3001,"*Full text read*")+COUNTIFS(Screening!$L$2:$L$3001,"Exclude",Screening!$R$2:$R$3001,"*Full text read*")</f>
        <v>37</v>
      </c>
      <c r="C31" s="12" t="s">
        <v>2159</v>
      </c>
    </row>
    <row r="32" customFormat="false" ht="15" hidden="false" customHeight="false" outlineLevel="0" collapsed="false">
      <c r="A32" s="11" t="s">
        <v>2160</v>
      </c>
      <c r="B32" s="11" t="n">
        <f aca="false">COUNTIF(Screening!$L$2:$L$3001,"Include")+COUNTIF(Screening!$L$2:$L$3001,"Exclude")-B31</f>
        <v>35</v>
      </c>
      <c r="C32" s="12" t="s">
        <v>2161</v>
      </c>
    </row>
    <row r="33" customFormat="false" ht="15" hidden="false" customHeight="false" outlineLevel="0" collapsed="false">
      <c r="A33" s="11" t="s">
        <v>2162</v>
      </c>
      <c r="B33" s="11" t="n">
        <f aca="false">COUNTIFS(Screening!$L$2:$L$3001,"Include",Screening!$R$2:$R$3001,"*Full text read*")</f>
        <v>32</v>
      </c>
    </row>
    <row r="34" customFormat="false" ht="15" hidden="false" customHeight="false" outlineLevel="0" collapsed="false">
      <c r="A34" s="11" t="s">
        <v>2163</v>
      </c>
      <c r="B34" s="11" t="n">
        <f aca="false">COUNTIFS(Screening!$L$2:$L$3001,"Exclude",Screening!$R$2:$R$3001,"*Full text read*")</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2026-10-17T23:58:28Z</dcterms:created>
  <dc:creator>Anonymous</dc:creator>
  <dc:description/>
  <dc:language>en-US</dc:language>
  <cp:lastModifiedBy>Anonymous</cp:lastModifiedBy>
  <dcterms:modified xsi:type="dcterms:W3CDTF">2026-10-19T15:49:17Z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